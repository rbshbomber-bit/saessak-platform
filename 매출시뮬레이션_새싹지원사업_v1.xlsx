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가정" sheetId="1" state="visible" r:id="rId3"/>
    <sheet name="2. 매출 빌드업" sheetId="2" state="visible" r:id="rId4"/>
    <sheet name="3. 비용" sheetId="3" state="visible" r:id="rId5"/>
    <sheet name="4. P&amp;L 요약" sheetId="4" state="visible" r:id="rId6"/>
    <sheet name="5. 시나리오 비교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<sst xmlns="http://schemas.openxmlformats.org/spreadsheetml/2006/main" count="182" uniqueCount="153">
  <si>
    <r>
      <rPr>
        <b val="true"/>
        <sz val="16"/>
        <color rgb="FF14181F"/>
        <rFont val="DejaVu Sans"/>
        <family val="2"/>
      </rPr>
      <t xml:space="preserve">새싹지원사업 — </t>
    </r>
    <r>
      <rPr>
        <b val="true"/>
        <sz val="16"/>
        <color rgb="FF14181F"/>
        <rFont val="맑은 고딕"/>
        <family val="0"/>
        <charset val="1"/>
      </rPr>
      <t xml:space="preserve">3</t>
    </r>
    <r>
      <rPr>
        <b val="true"/>
        <sz val="16"/>
        <color rgb="FF14181F"/>
        <rFont val="DejaVu Sans"/>
        <family val="2"/>
      </rPr>
      <t xml:space="preserve">년 매출 시뮬레이션</t>
    </r>
  </si>
  <si>
    <r>
      <rPr>
        <i val="true"/>
        <sz val="10"/>
        <color rgb="FF6C7280"/>
        <rFont val="DejaVu Sans"/>
        <family val="2"/>
      </rPr>
      <t xml:space="preserve">단위</t>
    </r>
    <r>
      <rPr>
        <i val="true"/>
        <sz val="10"/>
        <color rgb="FF6C7280"/>
        <rFont val="맑은 고딕"/>
        <family val="0"/>
        <charset val="1"/>
      </rPr>
      <t xml:space="preserve">: </t>
    </r>
    <r>
      <rPr>
        <i val="true"/>
        <sz val="10"/>
        <color rgb="FF6C7280"/>
        <rFont val="DejaVu Sans"/>
        <family val="2"/>
      </rPr>
      <t xml:space="preserve">만원 </t>
    </r>
    <r>
      <rPr>
        <i val="true"/>
        <sz val="10"/>
        <color rgb="FF6C7280"/>
        <rFont val="맑은 고딕"/>
        <family val="0"/>
        <charset val="1"/>
      </rPr>
      <t xml:space="preserve">(10,000</t>
    </r>
    <r>
      <rPr>
        <i val="true"/>
        <sz val="10"/>
        <color rgb="FF6C7280"/>
        <rFont val="DejaVu Sans"/>
        <family val="2"/>
      </rPr>
      <t xml:space="preserve">원</t>
    </r>
    <r>
      <rPr>
        <i val="true"/>
        <sz val="10"/>
        <color rgb="FF6C7280"/>
        <rFont val="맑은 고딕"/>
        <family val="0"/>
        <charset val="1"/>
      </rPr>
      <t xml:space="preserve">). </t>
    </r>
    <r>
      <rPr>
        <i val="true"/>
        <sz val="10"/>
        <color rgb="FF6C7280"/>
        <rFont val="DejaVu Sans"/>
        <family val="2"/>
      </rPr>
      <t xml:space="preserve">셀 색깔</t>
    </r>
    <r>
      <rPr>
        <i val="true"/>
        <sz val="10"/>
        <color rgb="FF6C7280"/>
        <rFont val="맑은 고딕"/>
        <family val="0"/>
        <charset val="1"/>
      </rPr>
      <t xml:space="preserve">: </t>
    </r>
    <r>
      <rPr>
        <i val="true"/>
        <sz val="10"/>
        <color rgb="FF6C7280"/>
        <rFont val="DejaVu Sans"/>
        <family val="2"/>
      </rPr>
      <t xml:space="preserve">파랑</t>
    </r>
    <r>
      <rPr>
        <i val="true"/>
        <sz val="10"/>
        <color rgb="FF6C7280"/>
        <rFont val="맑은 고딕"/>
        <family val="0"/>
        <charset val="1"/>
      </rPr>
      <t xml:space="preserve">=</t>
    </r>
    <r>
      <rPr>
        <i val="true"/>
        <sz val="10"/>
        <color rgb="FF6C7280"/>
        <rFont val="DejaVu Sans"/>
        <family val="2"/>
      </rPr>
      <t xml:space="preserve">입력값</t>
    </r>
    <r>
      <rPr>
        <i val="true"/>
        <sz val="10"/>
        <color rgb="FF6C7280"/>
        <rFont val="맑은 고딕"/>
        <family val="0"/>
        <charset val="1"/>
      </rPr>
      <t xml:space="preserve">, </t>
    </r>
    <r>
      <rPr>
        <i val="true"/>
        <sz val="10"/>
        <color rgb="FF6C7280"/>
        <rFont val="DejaVu Sans"/>
        <family val="2"/>
      </rPr>
      <t xml:space="preserve">검정</t>
    </r>
    <r>
      <rPr>
        <i val="true"/>
        <sz val="10"/>
        <color rgb="FF6C7280"/>
        <rFont val="맑은 고딕"/>
        <family val="0"/>
        <charset val="1"/>
      </rPr>
      <t xml:space="preserve">=</t>
    </r>
    <r>
      <rPr>
        <i val="true"/>
        <sz val="10"/>
        <color rgb="FF6C7280"/>
        <rFont val="DejaVu Sans"/>
        <family val="2"/>
      </rPr>
      <t xml:space="preserve">공식</t>
    </r>
    <r>
      <rPr>
        <i val="true"/>
        <sz val="10"/>
        <color rgb="FF6C7280"/>
        <rFont val="맑은 고딕"/>
        <family val="0"/>
        <charset val="1"/>
      </rPr>
      <t xml:space="preserve">, </t>
    </r>
    <r>
      <rPr>
        <i val="true"/>
        <sz val="10"/>
        <color rgb="FF6C7280"/>
        <rFont val="DejaVu Sans"/>
        <family val="2"/>
      </rPr>
      <t xml:space="preserve">노랑배경</t>
    </r>
    <r>
      <rPr>
        <i val="true"/>
        <sz val="10"/>
        <color rgb="FF6C7280"/>
        <rFont val="맑은 고딕"/>
        <family val="0"/>
        <charset val="1"/>
      </rPr>
      <t xml:space="preserve">=</t>
    </r>
    <r>
      <rPr>
        <i val="true"/>
        <sz val="10"/>
        <color rgb="FF6C7280"/>
        <rFont val="DejaVu Sans"/>
        <family val="2"/>
      </rPr>
      <t xml:space="preserve">핵심 가정</t>
    </r>
    <r>
      <rPr>
        <i val="true"/>
        <sz val="10"/>
        <color rgb="FF6C7280"/>
        <rFont val="맑은 고딕"/>
        <family val="0"/>
        <charset val="1"/>
      </rPr>
      <t xml:space="preserve">. </t>
    </r>
    <r>
      <rPr>
        <i val="true"/>
        <sz val="10"/>
        <color rgb="FF6C7280"/>
        <rFont val="DejaVu Sans"/>
        <family val="2"/>
      </rPr>
      <t xml:space="preserve">입력 바꾸면 모든 시트 자동 갱신</t>
    </r>
    <r>
      <rPr>
        <i val="true"/>
        <sz val="10"/>
        <color rgb="FF6C7280"/>
        <rFont val="맑은 고딕"/>
        <family val="0"/>
        <charset val="1"/>
      </rPr>
      <t xml:space="preserve">.</t>
    </r>
  </si>
  <si>
    <r>
      <rPr>
        <b val="true"/>
        <sz val="11"/>
        <color rgb="FF14181F"/>
        <rFont val="DejaVu Sans"/>
        <family val="2"/>
      </rPr>
      <t xml:space="preserve">현재 시나리오 </t>
    </r>
    <r>
      <rPr>
        <b val="true"/>
        <sz val="11"/>
        <color rgb="FF14181F"/>
        <rFont val="맑은 고딕"/>
        <family val="0"/>
        <charset val="1"/>
      </rPr>
      <t xml:space="preserve">(1=</t>
    </r>
    <r>
      <rPr>
        <b val="true"/>
        <sz val="11"/>
        <color rgb="FF14181F"/>
        <rFont val="DejaVu Sans"/>
        <family val="2"/>
      </rPr>
      <t xml:space="preserve">보수</t>
    </r>
    <r>
      <rPr>
        <b val="true"/>
        <sz val="11"/>
        <color rgb="FF14181F"/>
        <rFont val="맑은 고딕"/>
        <family val="0"/>
        <charset val="1"/>
      </rPr>
      <t xml:space="preserve">, 2=</t>
    </r>
    <r>
      <rPr>
        <b val="true"/>
        <sz val="11"/>
        <color rgb="FF14181F"/>
        <rFont val="DejaVu Sans"/>
        <family val="2"/>
      </rPr>
      <t xml:space="preserve">기본</t>
    </r>
    <r>
      <rPr>
        <b val="true"/>
        <sz val="11"/>
        <color rgb="FF14181F"/>
        <rFont val="맑은 고딕"/>
        <family val="0"/>
        <charset val="1"/>
      </rPr>
      <t xml:space="preserve">, 3=</t>
    </r>
    <r>
      <rPr>
        <b val="true"/>
        <sz val="11"/>
        <color rgb="FF14181F"/>
        <rFont val="DejaVu Sans"/>
        <family val="2"/>
      </rPr>
      <t xml:space="preserve">공격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</si>
  <si>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3"/>
        <color rgb="FFFFFFFF"/>
        <rFont val="맑은 고딕"/>
        <family val="0"/>
        <charset val="1"/>
      </rPr>
      <t xml:space="preserve">[① </t>
    </r>
    <r>
      <rPr>
        <b val="true"/>
        <sz val="13"/>
        <color rgb="FFFFFFFF"/>
        <rFont val="DejaVu Sans"/>
        <family val="2"/>
      </rPr>
      <t xml:space="preserve">정부 지원사업 자금</t>
    </r>
    <r>
      <rPr>
        <b val="true"/>
        <sz val="13"/>
        <color rgb="FFFFFFFF"/>
        <rFont val="맑은 고딕"/>
        <family val="0"/>
        <charset val="1"/>
      </rPr>
      <t xml:space="preserve">]</t>
    </r>
  </si>
  <si>
    <t xml:space="preserve">사업명</t>
  </si>
  <si>
    <r>
      <rPr>
        <b val="true"/>
        <sz val="11"/>
        <color rgb="FF14181F"/>
        <rFont val="DejaVu Sans"/>
        <family val="2"/>
      </rPr>
      <t xml:space="preserve">보수 </t>
    </r>
    <r>
      <rPr>
        <b val="true"/>
        <sz val="11"/>
        <color rgb="FF14181F"/>
        <rFont val="맑은 고딕"/>
        <family val="0"/>
        <charset val="1"/>
      </rPr>
      <t xml:space="preserve">(</t>
    </r>
    <r>
      <rPr>
        <b val="true"/>
        <sz val="11"/>
        <color rgb="FF14181F"/>
        <rFont val="DejaVu Sans"/>
        <family val="2"/>
      </rPr>
      <t xml:space="preserve">만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</si>
  <si>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1"/>
        <color rgb="FF14181F"/>
        <rFont val="DejaVu Sans"/>
        <family val="2"/>
      </rPr>
      <t xml:space="preserve">기본 </t>
    </r>
    <r>
      <rPr>
        <b val="true"/>
        <sz val="11"/>
        <color rgb="FF14181F"/>
        <rFont val="맑은 고딕"/>
        <family val="0"/>
        <charset val="1"/>
      </rPr>
      <t xml:space="preserve">(</t>
    </r>
    <r>
      <rPr>
        <b val="true"/>
        <sz val="11"/>
        <color rgb="FF14181F"/>
        <rFont val="DejaVu Sans"/>
        <family val="2"/>
      </rPr>
      <t xml:space="preserve">만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</si>
  <si>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1"/>
        <color rgb="FF14181F"/>
        <rFont val="DejaVu Sans"/>
        <family val="2"/>
      </rPr>
      <t xml:space="preserve">공격 </t>
    </r>
    <r>
      <rPr>
        <b val="true"/>
        <sz val="11"/>
        <color rgb="FF14181F"/>
        <rFont val="맑은 고딕"/>
        <family val="0"/>
        <charset val="1"/>
      </rPr>
      <t xml:space="preserve">(</t>
    </r>
    <r>
      <rPr>
        <b val="true"/>
        <sz val="11"/>
        <color rgb="FF14181F"/>
        <rFont val="DejaVu Sans"/>
        <family val="2"/>
      </rPr>
      <t xml:space="preserve">만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</si>
  <si>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t xml:space="preserve">도착 분기</t>
  </si>
  <si>
    <t xml:space="preserve">비고</t>
  </si>
  <si>
    <t xml:space="preserve">예비창업패키지</t>
  </si>
  <si>
    <t xml:space="preserve">Q2</t>
  </si>
  <si>
    <r>
      <rPr>
        <i val="true"/>
        <sz val="10"/>
        <color rgb="FF6C7280"/>
        <rFont val="DejaVu Sans"/>
        <family val="2"/>
      </rPr>
      <t xml:space="preserve">최대 </t>
    </r>
    <r>
      <rPr>
        <i val="true"/>
        <sz val="10"/>
        <color rgb="FF6C7280"/>
        <rFont val="맑은 고딕"/>
        <family val="0"/>
        <charset val="1"/>
      </rPr>
      <t xml:space="preserve">1</t>
    </r>
    <r>
      <rPr>
        <i val="true"/>
        <sz val="10"/>
        <color rgb="FF6C7280"/>
        <rFont val="DejaVu Sans"/>
        <family val="2"/>
      </rPr>
      <t xml:space="preserve">억 사업화 자금</t>
    </r>
  </si>
  <si>
    <t xml:space="preserve">청년창업사관학교</t>
  </si>
  <si>
    <t xml:space="preserve">Q3</t>
  </si>
  <si>
    <r>
      <rPr>
        <i val="true"/>
        <sz val="10"/>
        <color rgb="FF6C7280"/>
        <rFont val="DejaVu Sans"/>
        <family val="2"/>
      </rPr>
      <t xml:space="preserve">최대 </t>
    </r>
    <r>
      <rPr>
        <i val="true"/>
        <sz val="10"/>
        <color rgb="FF6C7280"/>
        <rFont val="맑은 고딕"/>
        <family val="0"/>
        <charset val="1"/>
      </rPr>
      <t xml:space="preserve">1</t>
    </r>
    <r>
      <rPr>
        <i val="true"/>
        <sz val="10"/>
        <color rgb="FF6C7280"/>
        <rFont val="DejaVu Sans"/>
        <family val="2"/>
      </rPr>
      <t xml:space="preserve">억 </t>
    </r>
    <r>
      <rPr>
        <i val="true"/>
        <sz val="10"/>
        <color rgb="FF6C7280"/>
        <rFont val="맑은 고딕"/>
        <family val="0"/>
        <charset val="1"/>
      </rPr>
      <t xml:space="preserve">+ </t>
    </r>
    <r>
      <rPr>
        <i val="true"/>
        <sz val="10"/>
        <color rgb="FF6C7280"/>
        <rFont val="DejaVu Sans"/>
        <family val="2"/>
      </rPr>
      <t xml:space="preserve">입주 </t>
    </r>
    <r>
      <rPr>
        <i val="true"/>
        <sz val="10"/>
        <color rgb="FF6C7280"/>
        <rFont val="맑은 고딕"/>
        <family val="0"/>
        <charset val="1"/>
      </rPr>
      <t xml:space="preserve">+ </t>
    </r>
    <r>
      <rPr>
        <i val="true"/>
        <sz val="10"/>
        <color rgb="FF6C7280"/>
        <rFont val="DejaVu Sans"/>
        <family val="2"/>
      </rPr>
      <t xml:space="preserve">멘토링</t>
    </r>
  </si>
  <si>
    <t xml:space="preserve">딥테크 헬스케어 패키지</t>
  </si>
  <si>
    <t xml:space="preserve">Q4</t>
  </si>
  <si>
    <r>
      <rPr>
        <i val="true"/>
        <sz val="10"/>
        <color rgb="FF6C7280"/>
        <rFont val="DejaVu Sans"/>
        <family val="2"/>
      </rPr>
      <t xml:space="preserve">최대 </t>
    </r>
    <r>
      <rPr>
        <i val="true"/>
        <sz val="10"/>
        <color rgb="FF6C7280"/>
        <rFont val="맑은 고딕"/>
        <family val="0"/>
        <charset val="1"/>
      </rPr>
      <t xml:space="preserve">3</t>
    </r>
    <r>
      <rPr>
        <i val="true"/>
        <sz val="10"/>
        <color rgb="FF6C7280"/>
        <rFont val="DejaVu Sans"/>
        <family val="2"/>
      </rPr>
      <t xml:space="preserve">억 </t>
    </r>
    <r>
      <rPr>
        <i val="true"/>
        <sz val="10"/>
        <color rgb="FF6C7280"/>
        <rFont val="맑은 고딕"/>
        <family val="0"/>
        <charset val="1"/>
      </rPr>
      <t xml:space="preserve">(1/3</t>
    </r>
    <r>
      <rPr>
        <i val="true"/>
        <sz val="10"/>
        <color rgb="FF6C7280"/>
        <rFont val="DejaVu Sans"/>
        <family val="2"/>
      </rPr>
      <t xml:space="preserve">만 인정</t>
    </r>
    <r>
      <rPr>
        <i val="true"/>
        <sz val="10"/>
        <color rgb="FF6C7280"/>
        <rFont val="맑은 고딕"/>
        <family val="0"/>
        <charset val="1"/>
      </rPr>
      <t xml:space="preserve">)</t>
    </r>
  </si>
  <si>
    <t xml:space="preserve">강화군 청년창업 지원금</t>
  </si>
  <si>
    <t xml:space="preserve">강화군 소상공인 지원</t>
  </si>
  <si>
    <r>
      <rPr>
        <b val="true"/>
        <sz val="11"/>
        <color rgb="FF14181F"/>
        <rFont val="DejaVu Sans"/>
        <family val="2"/>
      </rPr>
      <t xml:space="preserve">합계 </t>
    </r>
    <r>
      <rPr>
        <b val="true"/>
        <sz val="11"/>
        <color rgb="FF14181F"/>
        <rFont val="맑은 고딕"/>
        <family val="0"/>
        <charset val="1"/>
      </rPr>
      <t xml:space="preserve">(</t>
    </r>
    <r>
      <rPr>
        <b val="true"/>
        <sz val="11"/>
        <color rgb="FF14181F"/>
        <rFont val="DejaVu Sans"/>
        <family val="2"/>
      </rPr>
      <t xml:space="preserve">예상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</si>
  <si>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i val="true"/>
        <sz val="10"/>
        <color rgb="FF6C7280"/>
        <rFont val="맑은 고딕"/>
        <family val="0"/>
        <charset val="1"/>
      </rPr>
      <t xml:space="preserve">1</t>
    </r>
    <r>
      <rPr>
        <i val="true"/>
        <sz val="10"/>
        <color rgb="FF6C7280"/>
        <rFont val="DejaVu Sans"/>
        <family val="2"/>
      </rPr>
      <t xml:space="preserve">년차에 도착</t>
    </r>
  </si>
  <si>
    <r>
      <rPr>
        <b val="true"/>
        <sz val="13"/>
        <color rgb="FFFFFFFF"/>
        <rFont val="맑은 고딕"/>
        <family val="0"/>
        <charset val="1"/>
      </rPr>
      <t xml:space="preserve">[② B2B </t>
    </r>
    <r>
      <rPr>
        <b val="true"/>
        <sz val="13"/>
        <color rgb="FFFFFFFF"/>
        <rFont val="DejaVu Sans"/>
        <family val="2"/>
      </rPr>
      <t xml:space="preserve">지자체 라이선스</t>
    </r>
    <r>
      <rPr>
        <b val="true"/>
        <sz val="13"/>
        <color rgb="FFFFFFFF"/>
        <rFont val="맑은 고딕"/>
        <family val="0"/>
        <charset val="1"/>
      </rPr>
      <t xml:space="preserve">]</t>
    </r>
  </si>
  <si>
    <t xml:space="preserve">지표</t>
  </si>
  <si>
    <t xml:space="preserve">보수</t>
  </si>
  <si>
    <t xml:space="preserve">기본</t>
  </si>
  <si>
    <t xml:space="preserve">공격</t>
  </si>
  <si>
    <r>
      <rPr>
        <sz val="11"/>
        <color theme="1"/>
        <rFont val="Calibri"/>
        <family val="2"/>
        <charset val="1"/>
      </rPr>
      <t xml:space="preserve">ARPU (</t>
    </r>
    <r>
      <rPr>
        <sz val="11"/>
        <color theme="1"/>
        <rFont val="DejaVu Sans"/>
        <family val="2"/>
      </rPr>
      <t xml:space="preserve">연간 단가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)</t>
    </r>
  </si>
  <si>
    <t xml:space="preserve">강화군 표준</t>
  </si>
  <si>
    <r>
      <rPr>
        <sz val="11"/>
        <color theme="1"/>
        <rFont val="Calibri"/>
        <family val="2"/>
        <charset val="1"/>
      </rPr>
      <t xml:space="preserve">Y1 </t>
    </r>
    <r>
      <rPr>
        <sz val="11"/>
        <color theme="1"/>
        <rFont val="DejaVu Sans"/>
        <family val="2"/>
      </rPr>
      <t xml:space="preserve">신규 계약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곳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</si>
  <si>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6C7280"/>
        <rFont val="맑은 고딕"/>
        <family val="0"/>
        <charset val="1"/>
      </rPr>
      <t xml:space="preserve">Q2~Q4 </t>
    </r>
    <r>
      <rPr>
        <i val="true"/>
        <sz val="10"/>
        <color rgb="FF6C7280"/>
        <rFont val="DejaVu Sans"/>
        <family val="2"/>
      </rPr>
      <t xml:space="preserve">강화 </t>
    </r>
    <r>
      <rPr>
        <i val="true"/>
        <sz val="10"/>
        <color rgb="FF6C7280"/>
        <rFont val="맑은 고딕"/>
        <family val="0"/>
        <charset val="1"/>
      </rPr>
      <t xml:space="preserve">+ α</t>
    </r>
  </si>
  <si>
    <r>
      <rPr>
        <sz val="11"/>
        <color theme="1"/>
        <rFont val="Calibri"/>
        <family val="2"/>
        <charset val="1"/>
      </rPr>
      <t xml:space="preserve">Y2 </t>
    </r>
    <r>
      <rPr>
        <sz val="11"/>
        <color theme="1"/>
        <rFont val="DejaVu Sans"/>
        <family val="2"/>
      </rPr>
      <t xml:space="preserve">신규 계약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곳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</si>
  <si>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6C7280"/>
        <rFont val="DejaVu Sans"/>
        <family val="2"/>
      </rPr>
      <t xml:space="preserve">인천창경 </t>
    </r>
    <r>
      <rPr>
        <i val="true"/>
        <sz val="10"/>
        <color rgb="FF6C7280"/>
        <rFont val="맑은 고딕"/>
        <family val="0"/>
        <charset val="1"/>
      </rPr>
      <t xml:space="preserve">+ </t>
    </r>
    <r>
      <rPr>
        <i val="true"/>
        <sz val="10"/>
        <color rgb="FF6C7280"/>
        <rFont val="DejaVu Sans"/>
        <family val="2"/>
      </rPr>
      <t xml:space="preserve">타지자체</t>
    </r>
  </si>
  <si>
    <r>
      <rPr>
        <sz val="11"/>
        <color theme="1"/>
        <rFont val="Calibri"/>
        <family val="2"/>
        <charset val="1"/>
      </rPr>
      <t xml:space="preserve">Y3 </t>
    </r>
    <r>
      <rPr>
        <sz val="11"/>
        <color theme="1"/>
        <rFont val="DejaVu Sans"/>
        <family val="2"/>
      </rPr>
      <t xml:space="preserve">신규 계약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곳</t>
    </r>
    <r>
      <rPr>
        <sz val="11"/>
        <color theme="1"/>
        <rFont val="Calibri"/>
        <family val="2"/>
        <charset val="1"/>
      </rPr>
      <t xml:space="preserve">)</t>
    </r>
  </si>
  <si>
    <t xml:space="preserve">전국 확장</t>
  </si>
  <si>
    <r>
      <rPr>
        <sz val="11"/>
        <color theme="1"/>
        <rFont val="DejaVu Sans"/>
        <family val="2"/>
      </rPr>
      <t xml:space="preserve">이탈률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)</t>
    </r>
  </si>
  <si>
    <t xml:space="preserve">낮을수록 좋음</t>
  </si>
  <si>
    <r>
      <rPr>
        <b val="true"/>
        <sz val="13"/>
        <color rgb="FFFFFFFF"/>
        <rFont val="맑은 고딕"/>
        <family val="0"/>
        <charset val="1"/>
      </rPr>
      <t xml:space="preserve">[③ </t>
    </r>
    <r>
      <rPr>
        <b val="true"/>
        <sz val="13"/>
        <color rgb="FFFFFFFF"/>
        <rFont val="DejaVu Sans"/>
        <family val="2"/>
      </rPr>
      <t xml:space="preserve">사업계획서 </t>
    </r>
    <r>
      <rPr>
        <b val="true"/>
        <sz val="13"/>
        <color rgb="FFFFFFFF"/>
        <rFont val="맑은 고딕"/>
        <family val="0"/>
        <charset val="1"/>
      </rPr>
      <t xml:space="preserve">AI </t>
    </r>
    <r>
      <rPr>
        <b val="true"/>
        <sz val="13"/>
        <color rgb="FFFFFFFF"/>
        <rFont val="DejaVu Sans"/>
        <family val="2"/>
      </rPr>
      <t xml:space="preserve">컨설팅 </t>
    </r>
    <r>
      <rPr>
        <b val="true"/>
        <sz val="13"/>
        <color rgb="FFFFFFFF"/>
        <rFont val="맑은 고딕"/>
        <family val="0"/>
        <charset val="1"/>
      </rPr>
      <t xml:space="preserve">(1</t>
    </r>
    <r>
      <rPr>
        <b val="true"/>
        <sz val="13"/>
        <color rgb="FFFFFFFF"/>
        <rFont val="DejaVu Sans"/>
        <family val="2"/>
      </rPr>
      <t xml:space="preserve">회 결제</t>
    </r>
    <r>
      <rPr>
        <b val="true"/>
        <sz val="13"/>
        <color rgb="FFFFFFFF"/>
        <rFont val="맑은 고딕"/>
        <family val="0"/>
        <charset val="1"/>
      </rPr>
      <t xml:space="preserve">)]</t>
    </r>
  </si>
  <si>
    <r>
      <rPr>
        <sz val="11"/>
        <color theme="1"/>
        <rFont val="DejaVu Sans"/>
        <family val="2"/>
      </rPr>
      <t xml:space="preserve">단가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만원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</si>
  <si>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6C7280"/>
        <rFont val="맑은 고딕"/>
        <family val="0"/>
        <charset val="1"/>
      </rPr>
      <t xml:space="preserve">1</t>
    </r>
    <r>
      <rPr>
        <i val="true"/>
        <sz val="10"/>
        <color rgb="FF6C7280"/>
        <rFont val="DejaVu Sans"/>
        <family val="2"/>
      </rPr>
      <t xml:space="preserve">회 결제</t>
    </r>
  </si>
  <si>
    <r>
      <rPr>
        <sz val="11"/>
        <color theme="1"/>
        <rFont val="Calibri"/>
        <family val="2"/>
        <charset val="1"/>
      </rPr>
      <t xml:space="preserve">Y1 </t>
    </r>
    <r>
      <rPr>
        <sz val="11"/>
        <color theme="1"/>
        <rFont val="DejaVu Sans"/>
        <family val="2"/>
      </rPr>
      <t xml:space="preserve">누적 결제 건수</t>
    </r>
  </si>
  <si>
    <r>
      <rPr>
        <i val="true"/>
        <sz val="10"/>
        <color rgb="FF6C7280"/>
        <rFont val="맑은 고딕"/>
        <family val="0"/>
        <charset val="1"/>
      </rPr>
      <t xml:space="preserve">M+4 </t>
    </r>
    <r>
      <rPr>
        <i val="true"/>
        <sz val="10"/>
        <color rgb="FF6C7280"/>
        <rFont val="DejaVu Sans"/>
        <family val="2"/>
      </rPr>
      <t xml:space="preserve">출시 후</t>
    </r>
  </si>
  <si>
    <r>
      <rPr>
        <sz val="11"/>
        <color theme="1"/>
        <rFont val="Calibri"/>
        <family val="2"/>
        <charset val="1"/>
      </rPr>
      <t xml:space="preserve">Y2 </t>
    </r>
    <r>
      <rPr>
        <sz val="11"/>
        <color theme="1"/>
        <rFont val="DejaVu Sans"/>
        <family val="2"/>
      </rPr>
      <t xml:space="preserve">누적 결제 건수</t>
    </r>
  </si>
  <si>
    <r>
      <rPr>
        <sz val="11"/>
        <color theme="1"/>
        <rFont val="Calibri"/>
        <family val="2"/>
        <charset val="1"/>
      </rPr>
      <t xml:space="preserve">Y3 </t>
    </r>
    <r>
      <rPr>
        <sz val="11"/>
        <color theme="1"/>
        <rFont val="DejaVu Sans"/>
        <family val="2"/>
      </rPr>
      <t xml:space="preserve">누적 결제 건수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</si>
  <si>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토큰 비용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회당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</si>
  <si>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t xml:space="preserve">거의 무시</t>
  </si>
  <si>
    <r>
      <rPr>
        <b val="true"/>
        <sz val="13"/>
        <color rgb="FFFFFFFF"/>
        <rFont val="맑은 고딕"/>
        <family val="0"/>
        <charset val="1"/>
      </rPr>
      <t xml:space="preserve">[④ B2C </t>
    </r>
    <r>
      <rPr>
        <b val="true"/>
        <sz val="13"/>
        <color rgb="FFFFFFFF"/>
        <rFont val="DejaVu Sans"/>
        <family val="2"/>
      </rPr>
      <t xml:space="preserve">프리미엄 구독</t>
    </r>
    <r>
      <rPr>
        <b val="true"/>
        <sz val="13"/>
        <color rgb="FFFFFFFF"/>
        <rFont val="맑은 고딕"/>
        <family val="0"/>
        <charset val="1"/>
      </rPr>
      <t xml:space="preserve">]</t>
    </r>
  </si>
  <si>
    <r>
      <rPr>
        <sz val="11"/>
        <color theme="1"/>
        <rFont val="DejaVu Sans"/>
        <family val="2"/>
      </rPr>
      <t xml:space="preserve">월 구독료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</si>
  <si>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6C7280"/>
        <rFont val="DejaVu Sans"/>
        <family val="2"/>
      </rPr>
      <t xml:space="preserve">표준 </t>
    </r>
    <r>
      <rPr>
        <i val="true"/>
        <sz val="10"/>
        <color rgb="FF6C7280"/>
        <rFont val="맑은 고딕"/>
        <family val="0"/>
        <charset val="1"/>
      </rPr>
      <t xml:space="preserve">SaaS</t>
    </r>
  </si>
  <si>
    <r>
      <rPr>
        <sz val="11"/>
        <color theme="1"/>
        <rFont val="Calibri"/>
        <family val="2"/>
        <charset val="1"/>
      </rPr>
      <t xml:space="preserve">Y1 </t>
    </r>
    <r>
      <rPr>
        <sz val="11"/>
        <color theme="1"/>
        <rFont val="DejaVu Sans"/>
        <family val="2"/>
      </rPr>
      <t xml:space="preserve">말 유료 구독자</t>
    </r>
  </si>
  <si>
    <r>
      <rPr>
        <i val="true"/>
        <sz val="10"/>
        <color rgb="FF6C7280"/>
        <rFont val="맑은 고딕"/>
        <family val="0"/>
        <charset val="1"/>
      </rPr>
      <t xml:space="preserve">M+6 </t>
    </r>
    <r>
      <rPr>
        <i val="true"/>
        <sz val="10"/>
        <color rgb="FF6C7280"/>
        <rFont val="DejaVu Sans"/>
        <family val="2"/>
      </rPr>
      <t xml:space="preserve">베타 오픈 후</t>
    </r>
  </si>
  <si>
    <r>
      <rPr>
        <sz val="11"/>
        <color theme="1"/>
        <rFont val="Calibri"/>
        <family val="2"/>
        <charset val="1"/>
      </rPr>
      <t xml:space="preserve">Y2 </t>
    </r>
    <r>
      <rPr>
        <sz val="11"/>
        <color theme="1"/>
        <rFont val="DejaVu Sans"/>
        <family val="2"/>
      </rPr>
      <t xml:space="preserve">말 유료 구독자</t>
    </r>
  </si>
  <si>
    <r>
      <rPr>
        <sz val="11"/>
        <color theme="1"/>
        <rFont val="Calibri"/>
        <family val="2"/>
        <charset val="1"/>
      </rPr>
      <t xml:space="preserve">Y3 </t>
    </r>
    <r>
      <rPr>
        <sz val="11"/>
        <color theme="1"/>
        <rFont val="DejaVu Sans"/>
        <family val="2"/>
      </rPr>
      <t xml:space="preserve">말 유료 구독자</t>
    </r>
  </si>
  <si>
    <r>
      <rPr>
        <sz val="11"/>
        <color theme="1"/>
        <rFont val="DejaVu Sans"/>
        <family val="2"/>
      </rPr>
      <t xml:space="preserve">이탈률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</si>
  <si>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6C7280"/>
        <rFont val="DejaVu Sans"/>
        <family val="2"/>
      </rPr>
      <t xml:space="preserve">낮을수록 </t>
    </r>
    <r>
      <rPr>
        <i val="true"/>
        <sz val="10"/>
        <color rgb="FF6C7280"/>
        <rFont val="맑은 고딕"/>
        <family val="0"/>
        <charset val="1"/>
      </rPr>
      <t xml:space="preserve">LTV </t>
    </r>
    <r>
      <rPr>
        <i val="true"/>
        <sz val="10"/>
        <color rgb="FF6C7280"/>
        <rFont val="DejaVu Sans"/>
        <family val="2"/>
      </rPr>
      <t xml:space="preserve">높음</t>
    </r>
  </si>
  <si>
    <r>
      <rPr>
        <b val="true"/>
        <sz val="13"/>
        <color rgb="FFFFFFFF"/>
        <rFont val="맑은 고딕"/>
        <family val="0"/>
        <charset val="1"/>
      </rPr>
      <t xml:space="preserve">[⑤ </t>
    </r>
    <r>
      <rPr>
        <b val="true"/>
        <sz val="13"/>
        <color rgb="FFFFFFFF"/>
        <rFont val="DejaVu Sans"/>
        <family val="2"/>
      </rPr>
      <t xml:space="preserve">비용 구조 </t>
    </r>
    <r>
      <rPr>
        <b val="true"/>
        <sz val="13"/>
        <color rgb="FFFFFFFF"/>
        <rFont val="맑은 고딕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모든 시나리오 공통</t>
    </r>
    <r>
      <rPr>
        <b val="true"/>
        <sz val="13"/>
        <color rgb="FFFFFFFF"/>
        <rFont val="맑은 고딕"/>
        <family val="0"/>
        <charset val="1"/>
      </rPr>
      <t xml:space="preserve">, </t>
    </r>
    <r>
      <rPr>
        <b val="true"/>
        <sz val="13"/>
        <color rgb="FFFFFFFF"/>
        <rFont val="DejaVu Sans"/>
        <family val="2"/>
      </rPr>
      <t xml:space="preserve">월 단위</t>
    </r>
    <r>
      <rPr>
        <b val="true"/>
        <sz val="13"/>
        <color rgb="FFFFFFFF"/>
        <rFont val="맑은 고딕"/>
        <family val="0"/>
        <charset val="1"/>
      </rPr>
      <t xml:space="preserve">)]</t>
    </r>
  </si>
  <si>
    <t xml:space="preserve">항목</t>
  </si>
  <si>
    <r>
      <rPr>
        <b val="true"/>
        <sz val="11"/>
        <color rgb="FF14181F"/>
        <rFont val="맑은 고딕"/>
        <family val="0"/>
        <charset val="1"/>
      </rPr>
      <t xml:space="preserve">Y1 (</t>
    </r>
    <r>
      <rPr>
        <b val="true"/>
        <sz val="11"/>
        <color rgb="FF14181F"/>
        <rFont val="DejaVu Sans"/>
        <family val="2"/>
      </rPr>
      <t xml:space="preserve">월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</si>
  <si>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1"/>
        <color rgb="FF14181F"/>
        <rFont val="맑은 고딕"/>
        <family val="0"/>
        <charset val="1"/>
      </rPr>
      <t xml:space="preserve">Y2 (</t>
    </r>
    <r>
      <rPr>
        <b val="true"/>
        <sz val="11"/>
        <color rgb="FF14181F"/>
        <rFont val="DejaVu Sans"/>
        <family val="2"/>
      </rPr>
      <t xml:space="preserve">월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</si>
  <si>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1"/>
        <color rgb="FF14181F"/>
        <rFont val="맑은 고딕"/>
        <family val="0"/>
        <charset val="1"/>
      </rPr>
      <t xml:space="preserve">Y3 (</t>
    </r>
    <r>
      <rPr>
        <b val="true"/>
        <sz val="11"/>
        <color rgb="FF14181F"/>
        <rFont val="DejaVu Sans"/>
        <family val="2"/>
      </rPr>
      <t xml:space="preserve">월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</si>
  <si>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호스팅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인프라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</si>
  <si>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6C7280"/>
        <rFont val="맑은 고딕"/>
        <family val="0"/>
        <charset val="1"/>
      </rPr>
      <t xml:space="preserve">Vercel/AWS, </t>
    </r>
    <r>
      <rPr>
        <i val="true"/>
        <sz val="10"/>
        <color rgb="FF6C7280"/>
        <rFont val="DejaVu Sans"/>
        <family val="2"/>
      </rPr>
      <t xml:space="preserve">사용자 비례</t>
    </r>
  </si>
  <si>
    <r>
      <rPr>
        <sz val="11"/>
        <color theme="1"/>
        <rFont val="Calibri"/>
        <family val="2"/>
        <charset val="1"/>
      </rPr>
      <t xml:space="preserve">AI API (</t>
    </r>
    <r>
      <rPr>
        <sz val="11"/>
        <color theme="1"/>
        <rFont val="DejaVu Sans"/>
        <family val="2"/>
      </rPr>
      <t xml:space="preserve">매칭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</si>
  <si>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6C7280"/>
        <rFont val="맑은 고딕"/>
        <family val="0"/>
        <charset val="1"/>
      </rPr>
      <t xml:space="preserve">Claude Haiku </t>
    </r>
    <r>
      <rPr>
        <i val="true"/>
        <sz val="10"/>
        <color rgb="FF6C7280"/>
        <rFont val="DejaVu Sans"/>
        <family val="2"/>
      </rPr>
      <t xml:space="preserve">등 저렴 모델</t>
    </r>
  </si>
  <si>
    <r>
      <rPr>
        <sz val="11"/>
        <color theme="1"/>
        <rFont val="DejaVu Sans"/>
        <family val="2"/>
      </rPr>
      <t xml:space="preserve">도메인</t>
    </r>
    <r>
      <rPr>
        <sz val="11"/>
        <color theme="1"/>
        <rFont val="Calibri"/>
        <family val="2"/>
        <charset val="1"/>
      </rPr>
      <t xml:space="preserve">·SaaS </t>
    </r>
    <r>
      <rPr>
        <sz val="11"/>
        <color theme="1"/>
        <rFont val="DejaVu Sans"/>
        <family val="2"/>
      </rPr>
      <t xml:space="preserve">도구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</si>
  <si>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6C7280"/>
        <rFont val="DejaVu Sans"/>
        <family val="2"/>
      </rPr>
      <t xml:space="preserve">도메인</t>
    </r>
    <r>
      <rPr>
        <i val="true"/>
        <sz val="10"/>
        <color rgb="FF6C7280"/>
        <rFont val="맑은 고딕"/>
        <family val="0"/>
        <charset val="1"/>
      </rPr>
      <t xml:space="preserve">·</t>
    </r>
    <r>
      <rPr>
        <i val="true"/>
        <sz val="10"/>
        <color rgb="FF6C7280"/>
        <rFont val="DejaVu Sans"/>
        <family val="2"/>
      </rPr>
      <t xml:space="preserve">분석툴</t>
    </r>
    <r>
      <rPr>
        <i val="true"/>
        <sz val="10"/>
        <color rgb="FF6C7280"/>
        <rFont val="맑은 고딕"/>
        <family val="0"/>
        <charset val="1"/>
      </rPr>
      <t xml:space="preserve">·</t>
    </r>
    <r>
      <rPr>
        <i val="true"/>
        <sz val="10"/>
        <color rgb="FF6C7280"/>
        <rFont val="DejaVu Sans"/>
        <family val="2"/>
      </rPr>
      <t xml:space="preserve">결제</t>
    </r>
    <r>
      <rPr>
        <i val="true"/>
        <sz val="10"/>
        <color rgb="FF6C7280"/>
        <rFont val="맑은 고딕"/>
        <family val="0"/>
        <charset val="1"/>
      </rPr>
      <t xml:space="preserve">PG </t>
    </r>
    <r>
      <rPr>
        <i val="true"/>
        <sz val="10"/>
        <color rgb="FF6C7280"/>
        <rFont val="DejaVu Sans"/>
        <family val="2"/>
      </rPr>
      <t xml:space="preserve">등</t>
    </r>
  </si>
  <si>
    <r>
      <rPr>
        <sz val="11"/>
        <color theme="1"/>
        <rFont val="DejaVu Sans"/>
        <family val="2"/>
      </rPr>
      <t xml:space="preserve">마케팅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콘텐츠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</si>
  <si>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6C7280"/>
        <rFont val="DejaVu Sans"/>
        <family val="2"/>
      </rPr>
      <t xml:space="preserve">콘텐츠 외주</t>
    </r>
    <r>
      <rPr>
        <i val="true"/>
        <sz val="10"/>
        <color rgb="FF6C7280"/>
        <rFont val="맑은 고딕"/>
        <family val="0"/>
        <charset val="1"/>
      </rPr>
      <t xml:space="preserve">·SNS </t>
    </r>
    <r>
      <rPr>
        <i val="true"/>
        <sz val="10"/>
        <color rgb="FF6C7280"/>
        <rFont val="DejaVu Sans"/>
        <family val="2"/>
      </rPr>
      <t xml:space="preserve">광고</t>
    </r>
  </si>
  <si>
    <r>
      <rPr>
        <sz val="11"/>
        <color theme="1"/>
        <rFont val="DejaVu Sans"/>
        <family val="2"/>
      </rPr>
      <t xml:space="preserve">운영자 인건비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</si>
  <si>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6C7280"/>
        <rFont val="맑은 고딕"/>
        <family val="0"/>
        <charset val="1"/>
      </rPr>
      <t xml:space="preserve">Y2</t>
    </r>
    <r>
      <rPr>
        <i val="true"/>
        <sz val="10"/>
        <color rgb="FF6C7280"/>
        <rFont val="DejaVu Sans"/>
        <family val="2"/>
      </rPr>
      <t xml:space="preserve">부터 본격 풀타임</t>
    </r>
  </si>
  <si>
    <r>
      <rPr>
        <sz val="11"/>
        <color theme="1"/>
        <rFont val="DejaVu Sans"/>
        <family val="2"/>
      </rPr>
      <t xml:space="preserve">외주 인건비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)</t>
    </r>
  </si>
  <si>
    <r>
      <rPr>
        <i val="true"/>
        <sz val="10"/>
        <color rgb="FF6C7280"/>
        <rFont val="DejaVu Sans"/>
        <family val="2"/>
      </rPr>
      <t xml:space="preserve">콘텐츠</t>
    </r>
    <r>
      <rPr>
        <i val="true"/>
        <sz val="10"/>
        <color rgb="FF6C7280"/>
        <rFont val="맑은 고딕"/>
        <family val="0"/>
        <charset val="1"/>
      </rPr>
      <t xml:space="preserve">·</t>
    </r>
    <r>
      <rPr>
        <i val="true"/>
        <sz val="10"/>
        <color rgb="FF6C7280"/>
        <rFont val="DejaVu Sans"/>
        <family val="2"/>
      </rPr>
      <t xml:space="preserve">디자인 외주</t>
    </r>
  </si>
  <si>
    <t xml:space="preserve">월 비용 합계</t>
  </si>
  <si>
    <t xml:space="preserve">연 비용 합계</t>
  </si>
  <si>
    <r>
      <rPr>
        <b val="true"/>
        <sz val="16"/>
        <color rgb="FF14181F"/>
        <rFont val="DejaVu Sans"/>
        <family val="2"/>
      </rPr>
      <t xml:space="preserve">매출 빌드업 — 분기별 </t>
    </r>
    <r>
      <rPr>
        <b val="true"/>
        <sz val="16"/>
        <color rgb="FF14181F"/>
        <rFont val="맑은 고딕"/>
        <family val="0"/>
        <charset val="1"/>
      </rPr>
      <t xml:space="preserve">(Y1~Y3, 12</t>
    </r>
    <r>
      <rPr>
        <b val="true"/>
        <sz val="16"/>
        <color rgb="FF14181F"/>
        <rFont val="DejaVu Sans"/>
        <family val="2"/>
      </rPr>
      <t xml:space="preserve">분기</t>
    </r>
    <r>
      <rPr>
        <b val="true"/>
        <sz val="16"/>
        <color rgb="FF14181F"/>
        <rFont val="맑은 고딕"/>
        <family val="0"/>
        <charset val="1"/>
      </rPr>
      <t xml:space="preserve">)</t>
    </r>
  </si>
  <si>
    <r>
      <rPr>
        <i val="true"/>
        <sz val="10"/>
        <color rgb="FF6C7280"/>
        <rFont val="DejaVu Sans"/>
        <family val="2"/>
      </rPr>
      <t xml:space="preserve">현재 시나리오</t>
    </r>
    <r>
      <rPr>
        <i val="true"/>
        <sz val="10"/>
        <color rgb="FF6C7280"/>
        <rFont val="맑은 고딕"/>
        <family val="0"/>
        <charset val="1"/>
      </rPr>
      <t xml:space="preserve">: </t>
    </r>
  </si>
  <si>
    <t xml:space="preserve">수익원</t>
  </si>
  <si>
    <t xml:space="preserve">Q1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</si>
  <si>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</si>
  <si>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</si>
  <si>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</si>
  <si>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</si>
  <si>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</si>
  <si>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</si>
  <si>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</si>
  <si>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</si>
  <si>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합계</t>
  </si>
  <si>
    <t xml:space="preserve">① 정부 지원사업 자금</t>
  </si>
  <si>
    <t xml:space="preserve">  예비창업패키지</t>
  </si>
  <si>
    <t xml:space="preserve">  청년창업사관학교</t>
  </si>
  <si>
    <t xml:space="preserve">  딥테크 헬스케어</t>
  </si>
  <si>
    <t xml:space="preserve">  강화군 소상공인</t>
  </si>
  <si>
    <t xml:space="preserve">  ① 소계</t>
  </si>
  <si>
    <r>
      <rPr>
        <b val="true"/>
        <sz val="11"/>
        <color rgb="FF14181F"/>
        <rFont val="맑은 고딕"/>
        <family val="0"/>
        <charset val="1"/>
      </rPr>
      <t xml:space="preserve">② B2B </t>
    </r>
    <r>
      <rPr>
        <b val="true"/>
        <sz val="11"/>
        <color rgb="FF14181F"/>
        <rFont val="DejaVu Sans"/>
        <family val="2"/>
      </rPr>
      <t xml:space="preserve">지자체 라이선스</t>
    </r>
  </si>
  <si>
    <r>
      <rPr>
        <sz val="11"/>
        <color theme="1"/>
        <rFont val="DejaVu Sans"/>
        <family val="2"/>
      </rPr>
      <t xml:space="preserve">  신규 계약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곳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</si>
  <si>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  누적 계약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분기말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</si>
  <si>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color rgb="FF14181F"/>
        <rFont val="맑은 고딕"/>
        <family val="0"/>
        <charset val="1"/>
      </rPr>
      <t xml:space="preserve">  B2B </t>
    </r>
    <r>
      <rPr>
        <b val="true"/>
        <sz val="11"/>
        <color rgb="FF14181F"/>
        <rFont val="DejaVu Sans"/>
        <family val="2"/>
      </rPr>
      <t xml:space="preserve">매출 </t>
    </r>
    <r>
      <rPr>
        <b val="true"/>
        <sz val="11"/>
        <color rgb="FF14181F"/>
        <rFont val="맑은 고딕"/>
        <family val="0"/>
        <charset val="1"/>
      </rPr>
      <t xml:space="preserve">(</t>
    </r>
    <r>
      <rPr>
        <b val="true"/>
        <sz val="11"/>
        <color rgb="FF14181F"/>
        <rFont val="DejaVu Sans"/>
        <family val="2"/>
      </rPr>
      <t xml:space="preserve">만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</si>
  <si>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1"/>
        <color rgb="FF14181F"/>
        <rFont val="DejaVu Sans"/>
        <family val="2"/>
      </rPr>
      <t xml:space="preserve">③ 사업계획서 </t>
    </r>
    <r>
      <rPr>
        <b val="true"/>
        <sz val="11"/>
        <color rgb="FF14181F"/>
        <rFont val="맑은 고딕"/>
        <family val="0"/>
        <charset val="1"/>
      </rPr>
      <t xml:space="preserve">AI </t>
    </r>
    <r>
      <rPr>
        <b val="true"/>
        <sz val="11"/>
        <color rgb="FF14181F"/>
        <rFont val="DejaVu Sans"/>
        <family val="2"/>
      </rPr>
      <t xml:space="preserve">컨설팅</t>
    </r>
  </si>
  <si>
    <t xml:space="preserve">  분기별 결제 건수</t>
  </si>
  <si>
    <r>
      <rPr>
        <b val="true"/>
        <sz val="11"/>
        <color rgb="FF14181F"/>
        <rFont val="맑은 고딕"/>
        <family val="0"/>
        <charset val="1"/>
      </rPr>
      <t xml:space="preserve">  AI </t>
    </r>
    <r>
      <rPr>
        <b val="true"/>
        <sz val="11"/>
        <color rgb="FF14181F"/>
        <rFont val="DejaVu Sans"/>
        <family val="2"/>
      </rPr>
      <t xml:space="preserve">컨설팅 매출 </t>
    </r>
    <r>
      <rPr>
        <b val="true"/>
        <sz val="11"/>
        <color rgb="FF14181F"/>
        <rFont val="맑은 고딕"/>
        <family val="0"/>
        <charset val="1"/>
      </rPr>
      <t xml:space="preserve">(</t>
    </r>
    <r>
      <rPr>
        <b val="true"/>
        <sz val="11"/>
        <color rgb="FF14181F"/>
        <rFont val="DejaVu Sans"/>
        <family val="2"/>
      </rPr>
      <t xml:space="preserve">만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</si>
  <si>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1"/>
        <color rgb="FF14181F"/>
        <rFont val="맑은 고딕"/>
        <family val="0"/>
        <charset val="1"/>
      </rPr>
      <t xml:space="preserve">④ B2C </t>
    </r>
    <r>
      <rPr>
        <b val="true"/>
        <sz val="11"/>
        <color rgb="FF14181F"/>
        <rFont val="DejaVu Sans"/>
        <family val="2"/>
      </rPr>
      <t xml:space="preserve">프리미엄 구독</t>
    </r>
  </si>
  <si>
    <r>
      <rPr>
        <sz val="11"/>
        <color theme="1"/>
        <rFont val="DejaVu Sans"/>
        <family val="2"/>
      </rPr>
      <t xml:space="preserve">  유료 구독자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분기말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</si>
  <si>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color rgb="FF14181F"/>
        <rFont val="맑은 고딕"/>
        <family val="0"/>
        <charset val="1"/>
      </rPr>
      <t xml:space="preserve">  B2C </t>
    </r>
    <r>
      <rPr>
        <b val="true"/>
        <sz val="11"/>
        <color rgb="FF14181F"/>
        <rFont val="DejaVu Sans"/>
        <family val="2"/>
      </rPr>
      <t xml:space="preserve">매출 </t>
    </r>
    <r>
      <rPr>
        <b val="true"/>
        <sz val="11"/>
        <color rgb="FF14181F"/>
        <rFont val="맑은 고딕"/>
        <family val="0"/>
        <charset val="1"/>
      </rPr>
      <t xml:space="preserve">(</t>
    </r>
    <r>
      <rPr>
        <b val="true"/>
        <sz val="11"/>
        <color rgb="FF14181F"/>
        <rFont val="DejaVu Sans"/>
        <family val="2"/>
      </rPr>
      <t xml:space="preserve">만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</si>
  <si>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3"/>
        <color rgb="FFFFFFFF"/>
        <rFont val="DejaVu Sans"/>
        <family val="2"/>
      </rPr>
      <t xml:space="preserve">═ 총 매출 </t>
    </r>
    <r>
      <rPr>
        <b val="true"/>
        <sz val="13"/>
        <color rgb="FFFFFFFF"/>
        <rFont val="맑은 고딕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분기</t>
    </r>
    <r>
      <rPr>
        <b val="true"/>
        <sz val="13"/>
        <color rgb="FFFFFFFF"/>
        <rFont val="맑은 고딕"/>
        <family val="0"/>
        <charset val="1"/>
      </rPr>
      <t xml:space="preserve">) ═</t>
    </r>
  </si>
  <si>
    <t xml:space="preserve">연도별 합계</t>
  </si>
  <si>
    <t xml:space="preserve">Y1 (Q1~Q4)</t>
  </si>
  <si>
    <t xml:space="preserve">Y2 (Q5~Q8)</t>
  </si>
  <si>
    <t xml:space="preserve">Y3 (Q9~Q12)</t>
  </si>
  <si>
    <r>
      <rPr>
        <b val="true"/>
        <sz val="11"/>
        <color rgb="FF14181F"/>
        <rFont val="맑은 고딕"/>
        <family val="0"/>
        <charset val="1"/>
      </rPr>
      <t xml:space="preserve">3</t>
    </r>
    <r>
      <rPr>
        <b val="true"/>
        <sz val="11"/>
        <color rgb="FF14181F"/>
        <rFont val="DejaVu Sans"/>
        <family val="2"/>
      </rPr>
      <t xml:space="preserve">년 누계</t>
    </r>
  </si>
  <si>
    <t xml:space="preserve">① 정부 자금</t>
  </si>
  <si>
    <r>
      <rPr>
        <sz val="11"/>
        <color theme="1"/>
        <rFont val="Calibri"/>
        <family val="2"/>
        <charset val="1"/>
      </rPr>
      <t xml:space="preserve">② B2B </t>
    </r>
    <r>
      <rPr>
        <sz val="11"/>
        <color theme="1"/>
        <rFont val="DejaVu Sans"/>
        <family val="2"/>
      </rPr>
      <t xml:space="preserve">지자체</t>
    </r>
  </si>
  <si>
    <r>
      <rPr>
        <sz val="11"/>
        <color theme="1"/>
        <rFont val="Calibri"/>
        <family val="2"/>
        <charset val="1"/>
      </rPr>
      <t xml:space="preserve">③ AI </t>
    </r>
    <r>
      <rPr>
        <sz val="11"/>
        <color theme="1"/>
        <rFont val="DejaVu Sans"/>
        <family val="2"/>
      </rPr>
      <t xml:space="preserve">컨설팅</t>
    </r>
  </si>
  <si>
    <r>
      <rPr>
        <sz val="11"/>
        <color theme="1"/>
        <rFont val="Calibri"/>
        <family val="2"/>
        <charset val="1"/>
      </rPr>
      <t xml:space="preserve">④ B2C </t>
    </r>
    <r>
      <rPr>
        <sz val="11"/>
        <color theme="1"/>
        <rFont val="DejaVu Sans"/>
        <family val="2"/>
      </rPr>
      <t xml:space="preserve">프리미엄</t>
    </r>
  </si>
  <si>
    <t xml:space="preserve">총 매출</t>
  </si>
  <si>
    <r>
      <rPr>
        <b val="true"/>
        <sz val="16"/>
        <color rgb="FF14181F"/>
        <rFont val="DejaVu Sans"/>
        <family val="2"/>
      </rPr>
      <t xml:space="preserve">비용 — 연도별 </t>
    </r>
    <r>
      <rPr>
        <b val="true"/>
        <sz val="16"/>
        <color rgb="FF14181F"/>
        <rFont val="맑은 고딕"/>
        <family val="0"/>
        <charset val="1"/>
      </rPr>
      <t xml:space="preserve">(3</t>
    </r>
    <r>
      <rPr>
        <b val="true"/>
        <sz val="16"/>
        <color rgb="FF14181F"/>
        <rFont val="DejaVu Sans"/>
        <family val="2"/>
      </rPr>
      <t xml:space="preserve">개 시나리오 공통</t>
    </r>
    <r>
      <rPr>
        <b val="true"/>
        <sz val="16"/>
        <color rgb="FF14181F"/>
        <rFont val="맑은 고딕"/>
        <family val="0"/>
        <charset val="1"/>
      </rPr>
      <t xml:space="preserve">)</t>
    </r>
  </si>
  <si>
    <r>
      <rPr>
        <b val="true"/>
        <sz val="11"/>
        <color rgb="FF14181F"/>
        <rFont val="맑은 고딕"/>
        <family val="0"/>
        <charset val="1"/>
      </rPr>
      <t xml:space="preserve">Y1 (</t>
    </r>
    <r>
      <rPr>
        <b val="true"/>
        <sz val="11"/>
        <color rgb="FF14181F"/>
        <rFont val="DejaVu Sans"/>
        <family val="2"/>
      </rPr>
      <t xml:space="preserve">연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</si>
  <si>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1"/>
        <color rgb="FF14181F"/>
        <rFont val="맑은 고딕"/>
        <family val="0"/>
        <charset val="1"/>
      </rPr>
      <t xml:space="preserve">Y2 (</t>
    </r>
    <r>
      <rPr>
        <b val="true"/>
        <sz val="11"/>
        <color rgb="FF14181F"/>
        <rFont val="DejaVu Sans"/>
        <family val="2"/>
      </rPr>
      <t xml:space="preserve">연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</si>
  <si>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1"/>
        <color rgb="FF14181F"/>
        <rFont val="맑은 고딕"/>
        <family val="0"/>
        <charset val="1"/>
      </rPr>
      <t xml:space="preserve">Y3 (</t>
    </r>
    <r>
      <rPr>
        <b val="true"/>
        <sz val="11"/>
        <color rgb="FF14181F"/>
        <rFont val="DejaVu Sans"/>
        <family val="2"/>
      </rPr>
      <t xml:space="preserve">연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</si>
  <si>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호스팅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인프라</t>
    </r>
  </si>
  <si>
    <r>
      <rPr>
        <sz val="11"/>
        <color theme="1"/>
        <rFont val="Calibri"/>
        <family val="2"/>
        <charset val="1"/>
      </rPr>
      <t xml:space="preserve">AI API </t>
    </r>
    <r>
      <rPr>
        <sz val="11"/>
        <color theme="1"/>
        <rFont val="DejaVu Sans"/>
        <family val="2"/>
      </rPr>
      <t xml:space="preserve">운영</t>
    </r>
  </si>
  <si>
    <r>
      <rPr>
        <sz val="11"/>
        <color theme="1"/>
        <rFont val="DejaVu Sans"/>
        <family val="2"/>
      </rPr>
      <t xml:space="preserve">도메인</t>
    </r>
    <r>
      <rPr>
        <sz val="11"/>
        <color theme="1"/>
        <rFont val="Calibri"/>
        <family val="2"/>
        <charset val="1"/>
      </rPr>
      <t xml:space="preserve">·SaaS</t>
    </r>
  </si>
  <si>
    <r>
      <rPr>
        <sz val="11"/>
        <color theme="1"/>
        <rFont val="DejaVu Sans"/>
        <family val="2"/>
      </rPr>
      <t xml:space="preserve">마케팅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콘텐츠</t>
    </r>
  </si>
  <si>
    <t xml:space="preserve">운영자 인건비</t>
  </si>
  <si>
    <t xml:space="preserve">외주 인건비</t>
  </si>
  <si>
    <t xml:space="preserve">고정 비용 합계</t>
  </si>
  <si>
    <t xml:space="preserve">변동 비용</t>
  </si>
  <si>
    <r>
      <rPr>
        <sz val="11"/>
        <color theme="1"/>
        <rFont val="DejaVu Sans"/>
        <family val="2"/>
      </rPr>
      <t xml:space="preserve">결제 </t>
    </r>
    <r>
      <rPr>
        <sz val="11"/>
        <color theme="1"/>
        <rFont val="Calibri"/>
        <family val="2"/>
        <charset val="1"/>
      </rPr>
      <t xml:space="preserve">PG </t>
    </r>
    <r>
      <rPr>
        <sz val="11"/>
        <color theme="1"/>
        <rFont val="DejaVu Sans"/>
        <family val="2"/>
      </rPr>
      <t xml:space="preserve">수수료 </t>
    </r>
    <r>
      <rPr>
        <sz val="11"/>
        <color theme="1"/>
        <rFont val="Calibri"/>
        <family val="2"/>
        <charset val="1"/>
      </rPr>
      <t xml:space="preserve">(3%)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</si>
  <si>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DejaVu Sans"/>
        <family val="2"/>
      </rPr>
      <t xml:space="preserve">토큰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사용량 비례</t>
    </r>
    <r>
      <rPr>
        <sz val="11"/>
        <color theme="1"/>
        <rFont val="Calibri"/>
        <family val="2"/>
        <charset val="1"/>
      </rPr>
      <t xml:space="preserve">)</t>
    </r>
  </si>
  <si>
    <t xml:space="preserve">변동 비용 합계</t>
  </si>
  <si>
    <t xml:space="preserve">═ 총 비용 ═</t>
  </si>
  <si>
    <r>
      <rPr>
        <b val="true"/>
        <sz val="16"/>
        <color rgb="FF14181F"/>
        <rFont val="맑은 고딕"/>
        <family val="0"/>
        <charset val="1"/>
      </rPr>
      <t xml:space="preserve">P&amp;L </t>
    </r>
    <r>
      <rPr>
        <b val="true"/>
        <sz val="16"/>
        <color rgb="FF14181F"/>
        <rFont val="DejaVu Sans"/>
        <family val="2"/>
      </rPr>
      <t xml:space="preserve">요약 — </t>
    </r>
    <r>
      <rPr>
        <b val="true"/>
        <sz val="16"/>
        <color rgb="FF14181F"/>
        <rFont val="맑은 고딕"/>
        <family val="0"/>
        <charset val="1"/>
      </rPr>
      <t xml:space="preserve">3</t>
    </r>
    <r>
      <rPr>
        <b val="true"/>
        <sz val="16"/>
        <color rgb="FF14181F"/>
        <rFont val="DejaVu Sans"/>
        <family val="2"/>
      </rPr>
      <t xml:space="preserve">년 손익</t>
    </r>
  </si>
  <si>
    <t xml:space="preserve">Y1</t>
  </si>
  <si>
    <t xml:space="preserve">Y2</t>
  </si>
  <si>
    <t xml:space="preserve">Y3</t>
  </si>
  <si>
    <t xml:space="preserve">매출</t>
  </si>
  <si>
    <t xml:space="preserve">비용</t>
  </si>
  <si>
    <t xml:space="preserve">영업이익</t>
  </si>
  <si>
    <t xml:space="preserve">영업이익률</t>
  </si>
  <si>
    <r>
      <rPr>
        <b val="true"/>
        <sz val="11"/>
        <color rgb="FF14181F"/>
        <rFont val="DejaVu Sans"/>
        <family val="2"/>
      </rPr>
      <t xml:space="preserve">매출 구성 </t>
    </r>
    <r>
      <rPr>
        <b val="true"/>
        <sz val="11"/>
        <color rgb="FF14181F"/>
        <rFont val="맑은 고딕"/>
        <family val="0"/>
        <charset val="1"/>
      </rPr>
      <t xml:space="preserve">(Y3 </t>
    </r>
    <r>
      <rPr>
        <b val="true"/>
        <sz val="11"/>
        <color rgb="FF14181F"/>
        <rFont val="DejaVu Sans"/>
        <family val="2"/>
      </rPr>
      <t xml:space="preserve">기준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</si>
  <si>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6"/>
        <color rgb="FF14181F"/>
        <rFont val="DejaVu Sans"/>
        <family val="2"/>
      </rPr>
      <t xml:space="preserve">시나리오 비교 — 보수 </t>
    </r>
    <r>
      <rPr>
        <b val="true"/>
        <sz val="16"/>
        <color rgb="FF14181F"/>
        <rFont val="맑은 고딕"/>
        <family val="0"/>
        <charset val="1"/>
      </rPr>
      <t xml:space="preserve">vs </t>
    </r>
    <r>
      <rPr>
        <b val="true"/>
        <sz val="16"/>
        <color rgb="FF14181F"/>
        <rFont val="DejaVu Sans"/>
        <family val="2"/>
      </rPr>
      <t xml:space="preserve">기본 </t>
    </r>
    <r>
      <rPr>
        <b val="true"/>
        <sz val="16"/>
        <color rgb="FF14181F"/>
        <rFont val="맑은 고딕"/>
        <family val="0"/>
        <charset val="1"/>
      </rPr>
      <t xml:space="preserve">vs </t>
    </r>
    <r>
      <rPr>
        <b val="true"/>
        <sz val="16"/>
        <color rgb="FF14181F"/>
        <rFont val="DejaVu Sans"/>
        <family val="2"/>
      </rPr>
      <t xml:space="preserve">공격</t>
    </r>
  </si>
  <si>
    <r>
      <rPr>
        <i val="true"/>
        <sz val="10"/>
        <color rgb="FF6C7280"/>
        <rFont val="DejaVu Sans"/>
        <family val="2"/>
      </rPr>
      <t xml:space="preserve">각 시나리오를 분리해 비교</t>
    </r>
    <r>
      <rPr>
        <i val="true"/>
        <sz val="10"/>
        <color rgb="FF6C7280"/>
        <rFont val="맑은 고딕"/>
        <family val="0"/>
        <charset val="1"/>
      </rPr>
      <t xml:space="preserve">. </t>
    </r>
    <r>
      <rPr>
        <i val="true"/>
        <sz val="10"/>
        <color rgb="FF6C7280"/>
        <rFont val="DejaVu Sans"/>
        <family val="2"/>
      </rPr>
      <t xml:space="preserve">가정 시트의 </t>
    </r>
    <r>
      <rPr>
        <i val="true"/>
        <sz val="10"/>
        <color rgb="FF6C7280"/>
        <rFont val="맑은 고딕"/>
        <family val="0"/>
        <charset val="1"/>
      </rPr>
      <t xml:space="preserve">D4 </t>
    </r>
    <r>
      <rPr>
        <i val="true"/>
        <sz val="10"/>
        <color rgb="FF6C7280"/>
        <rFont val="DejaVu Sans"/>
        <family val="2"/>
      </rPr>
      <t xml:space="preserve">토글을 바꿔도 이 표는 고정</t>
    </r>
    <r>
      <rPr>
        <i val="true"/>
        <sz val="10"/>
        <color rgb="FF6C7280"/>
        <rFont val="맑은 고딕"/>
        <family val="0"/>
        <charset val="1"/>
      </rPr>
      <t xml:space="preserve">.</t>
    </r>
  </si>
  <si>
    <r>
      <rPr>
        <b val="true"/>
        <sz val="11"/>
        <color rgb="FF14181F"/>
        <rFont val="DejaVu Sans"/>
        <family val="2"/>
      </rPr>
      <t xml:space="preserve">지표 </t>
    </r>
    <r>
      <rPr>
        <b val="true"/>
        <sz val="11"/>
        <color rgb="FF14181F"/>
        <rFont val="맑은 고딕"/>
        <family val="0"/>
        <charset val="1"/>
      </rPr>
      <t xml:space="preserve">(3</t>
    </r>
    <r>
      <rPr>
        <b val="true"/>
        <sz val="11"/>
        <color rgb="FF14181F"/>
        <rFont val="DejaVu Sans"/>
        <family val="2"/>
      </rPr>
      <t xml:space="preserve">년 누계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</si>
  <si>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sz val="11"/>
        <color theme="1"/>
        <rFont val="DejaVu Sans"/>
        <family val="2"/>
      </rPr>
      <t xml:space="preserve">① 정부 자금 누계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</si>
  <si>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② B2B </t>
    </r>
    <r>
      <rPr>
        <sz val="11"/>
        <color theme="1"/>
        <rFont val="DejaVu Sans"/>
        <family val="2"/>
      </rPr>
      <t xml:space="preserve">지자체 누계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</si>
  <si>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③ AI </t>
    </r>
    <r>
      <rPr>
        <sz val="11"/>
        <color theme="1"/>
        <rFont val="DejaVu Sans"/>
        <family val="2"/>
      </rPr>
      <t xml:space="preserve">컨설팅 누계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</si>
  <si>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④ B2C </t>
    </r>
    <r>
      <rPr>
        <sz val="11"/>
        <color theme="1"/>
        <rFont val="DejaVu Sans"/>
        <family val="2"/>
      </rPr>
      <t xml:space="preserve">프리미엄 누계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</si>
  <si>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3"/>
        <color rgb="FFFFFFFF"/>
        <rFont val="맑은 고딕"/>
        <family val="0"/>
        <charset val="1"/>
      </rPr>
      <t xml:space="preserve">═ 3</t>
    </r>
    <r>
      <rPr>
        <b val="true"/>
        <sz val="13"/>
        <color rgb="FFFFFFFF"/>
        <rFont val="DejaVu Sans"/>
        <family val="2"/>
      </rPr>
      <t xml:space="preserve">년 누계 매출</t>
    </r>
  </si>
  <si>
    <r>
      <rPr>
        <b val="true"/>
        <sz val="11"/>
        <color rgb="FF14181F"/>
        <rFont val="맑은 고딕"/>
        <family val="0"/>
        <charset val="1"/>
      </rPr>
      <t xml:space="preserve">3</t>
    </r>
    <r>
      <rPr>
        <b val="true"/>
        <sz val="11"/>
        <color rgb="FF14181F"/>
        <rFont val="DejaVu Sans"/>
        <family val="2"/>
      </rPr>
      <t xml:space="preserve">년 누계 비용 </t>
    </r>
    <r>
      <rPr>
        <b val="true"/>
        <sz val="11"/>
        <color rgb="FF14181F"/>
        <rFont val="맑은 고딕"/>
        <family val="0"/>
        <charset val="1"/>
      </rPr>
      <t xml:space="preserve">(</t>
    </r>
    <r>
      <rPr>
        <b val="true"/>
        <sz val="11"/>
        <color rgb="FF14181F"/>
        <rFont val="DejaVu Sans"/>
        <family val="2"/>
      </rPr>
      <t xml:space="preserve">만</t>
    </r>
    <r>
      <rPr>
        <b val="true"/>
        <sz val="11"/>
        <color rgb="FF14181F"/>
        <rFont val="맑은 고딕"/>
        <family val="0"/>
        <charset val="1"/>
      </rPr>
      <t xml:space="preserve">)</t>
    </r>
  </si>
  <si>
    <r>
      <rPr>
        <b val="true"/>
        <sz val="13"/>
        <color rgb="FFFFFFFF"/>
        <rFont val="맑은 고딕"/>
        <family val="0"/>
        <charset val="1"/>
      </rPr>
      <t xml:space="preserve">═ 3</t>
    </r>
    <r>
      <rPr>
        <b val="true"/>
        <sz val="13"/>
        <color rgb="FFFFFFFF"/>
        <rFont val="DejaVu Sans"/>
        <family val="2"/>
      </rPr>
      <t xml:space="preserve">년 누계 영업이익</t>
    </r>
  </si>
  <si>
    <r>
      <rPr>
        <i val="true"/>
        <sz val="10"/>
        <color rgb="FF6C7280"/>
        <rFont val="DejaVu Sans"/>
        <family val="2"/>
      </rPr>
      <t xml:space="preserve">▶ 보수 </t>
    </r>
    <r>
      <rPr>
        <i val="true"/>
        <sz val="10"/>
        <color rgb="FF6C7280"/>
        <rFont val="맑은 고딕"/>
        <family val="0"/>
        <charset val="1"/>
      </rPr>
      <t xml:space="preserve">= </t>
    </r>
    <r>
      <rPr>
        <i val="true"/>
        <sz val="10"/>
        <color rgb="FF6C7280"/>
        <rFont val="DejaVu Sans"/>
        <family val="2"/>
      </rPr>
      <t xml:space="preserve">가장 낮은 채택률</t>
    </r>
    <r>
      <rPr>
        <i val="true"/>
        <sz val="10"/>
        <color rgb="FF6C7280"/>
        <rFont val="맑은 고딕"/>
        <family val="0"/>
        <charset val="1"/>
      </rPr>
      <t xml:space="preserve">, B2B 1</t>
    </r>
    <r>
      <rPr>
        <i val="true"/>
        <sz val="10"/>
        <color rgb="FF6C7280"/>
        <rFont val="DejaVu Sans"/>
        <family val="2"/>
      </rPr>
      <t xml:space="preserve">곳 시작</t>
    </r>
  </si>
  <si>
    <r>
      <rPr>
        <i val="true"/>
        <sz val="10"/>
        <color rgb="FF6C7280"/>
        <rFont val="DejaVu Sans"/>
        <family val="2"/>
      </rPr>
      <t xml:space="preserve">▶ 기본 </t>
    </r>
    <r>
      <rPr>
        <i val="true"/>
        <sz val="10"/>
        <color rgb="FF6C7280"/>
        <rFont val="맑은 고딕"/>
        <family val="0"/>
        <charset val="1"/>
      </rPr>
      <t xml:space="preserve">= </t>
    </r>
    <r>
      <rPr>
        <i val="true"/>
        <sz val="10"/>
        <color rgb="FF6C7280"/>
        <rFont val="DejaVu Sans"/>
        <family val="2"/>
      </rPr>
      <t xml:space="preserve">실현 가능성 높은 베이스라인</t>
    </r>
  </si>
  <si>
    <r>
      <rPr>
        <i val="true"/>
        <sz val="10"/>
        <color rgb="FF6C7280"/>
        <rFont val="DejaVu Sans"/>
        <family val="2"/>
      </rPr>
      <t xml:space="preserve">▶ 공격 </t>
    </r>
    <r>
      <rPr>
        <i val="true"/>
        <sz val="10"/>
        <color rgb="FF6C7280"/>
        <rFont val="맑은 고딕"/>
        <family val="0"/>
        <charset val="1"/>
      </rPr>
      <t xml:space="preserve">= B2B </t>
    </r>
    <r>
      <rPr>
        <i val="true"/>
        <sz val="10"/>
        <color rgb="FF6C7280"/>
        <rFont val="DejaVu Sans"/>
        <family val="2"/>
      </rPr>
      <t xml:space="preserve">빠른 확장 </t>
    </r>
    <r>
      <rPr>
        <i val="true"/>
        <sz val="10"/>
        <color rgb="FF6C7280"/>
        <rFont val="맑은 고딕"/>
        <family val="0"/>
        <charset val="1"/>
      </rPr>
      <t xml:space="preserve">+ B2C </t>
    </r>
    <r>
      <rPr>
        <i val="true"/>
        <sz val="10"/>
        <color rgb="FF6C7280"/>
        <rFont val="DejaVu Sans"/>
        <family val="2"/>
      </rPr>
      <t xml:space="preserve">성공 가정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</si>
</sst>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\만;\(#,##0&quot;)만&quot;;\-"/>
    <numFmt numFmtId="166" formatCode="#,##0;\(#,##0\);\-"/>
    <numFmt numFmtId="167" formatCode="0.0%;\(0.0%\);\-"/>
    <numFmt numFmtId="168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181F"/>
      <name val="DejaVu Sans"/>
      <family val="2"/>
    </font>
    <font>
      <b val="true"/>
      <sz val="16"/>
      <color rgb="FF14181F"/>
      <name val="맑은 고딕"/>
      <family val="0"/>
      <charset val="1"/>
    </font>
    <font>
      <i val="true"/>
      <sz val="10"/>
      <color rgb="FF6C7280"/>
      <name val="DejaVu Sans"/>
      <family val="2"/>
    </font>
    <font>
      <i val="true"/>
      <sz val="10"/>
      <color rgb="FF6C7280"/>
      <name val="맑은 고딕"/>
      <family val="0"/>
      <charset val="1"/>
    </font>
    <font>
      <b val="true"/>
      <sz val="11"/>
      <color rgb="FF14181F"/>
      <name val="DejaVu Sans"/>
      <family val="2"/>
    </font>
    <font>
      <b val="true"/>
      <sz val="11"/>
      <color rgb="FF14181F"/>
      <name val="맑은 고딕"/>
      <family val="0"/>
      <charset val="1"/>
    </font>
    <font>
      <b val="true"/>
      <sz val="14"/>
      <color rgb="FF0000FF"/>
      <name val="맑은 고딕"/>
      <family val="0"/>
      <charset val="1"/>
    </font>
    <font>
      <sz val="11"/>
      <color rgb="FF000000"/>
      <name val="DejaVu Sans"/>
      <family val="2"/>
    </font>
    <font>
      <b val="true"/>
      <sz val="13"/>
      <color rgb="FFFFFFFF"/>
      <name val="맑은 고딕"/>
      <family val="0"/>
      <charset val="1"/>
    </font>
    <font>
      <b val="true"/>
      <sz val="13"/>
      <color rgb="FFFFFFFF"/>
      <name val="DejaVu Sans"/>
      <family val="2"/>
    </font>
    <font>
      <sz val="11"/>
      <color theme="1"/>
      <name val="DejaVu Sans"/>
      <family val="2"/>
    </font>
    <font>
      <sz val="11"/>
      <color rgb="FF0000FF"/>
      <name val="맑은 고딕"/>
      <family val="0"/>
      <charset val="1"/>
    </font>
    <font>
      <sz val="11"/>
      <color rgb="FF000000"/>
      <name val="맑은 고딕"/>
      <family val="0"/>
      <charset val="1"/>
    </font>
    <font>
      <sz val="11"/>
      <color rgb="FF008000"/>
      <name val="DejaVu Sans"/>
      <family val="2"/>
    </font>
    <font>
      <b val="true"/>
      <sz val="11"/>
      <color rgb="FFFFFFFF"/>
      <name val="맑은 고딕"/>
      <family val="0"/>
      <charset val="1"/>
    </font>
    <font>
      <b val="true"/>
      <sz val="12"/>
      <color rgb="FFFFFFFF"/>
      <name val="맑은 고딕"/>
      <family val="0"/>
      <charset val="1"/>
    </font>
    <font>
      <sz val="11"/>
      <color rgb="FF008000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5C7A5A"/>
        <bgColor rgb="FF6C7280"/>
      </patternFill>
    </fill>
    <fill>
      <patternFill patternType="solid">
        <fgColor rgb="FFD8E3D4"/>
        <bgColor rgb="FFCCCCCC"/>
      </patternFill>
    </fill>
    <fill>
      <patternFill patternType="solid">
        <fgColor rgb="FFFBF8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5C7A5A"/>
      <rgbColor rgb="FF9999FF"/>
      <rgbColor rgb="FF993366"/>
      <rgbColor rgb="FFFBF8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3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C7280"/>
      <rgbColor rgb="FF969696"/>
      <rgbColor rgb="FF003366"/>
      <rgbColor rgb="FF339966"/>
      <rgbColor rgb="FF1418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10"/>
    <col collapsed="false" customWidth="true" hidden="false" outlineLevel="0" max="6" min="6" style="0" width="36"/>
  </cols>
  <sheetData>
    <row r="1" customFormat="false" ht="19.4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7.35" hidden="false" customHeight="false" outlineLevel="0" collapsed="false">
      <c r="A4" s="3" t="s">
        <v>2</v>
      </c>
      <c r="B4" s="3"/>
      <c r="C4" s="3"/>
      <c r="D4" s="4" t="n">
        <v>2</v>
      </c>
      <c r="E4" s="5" t="str">
        <f aca="false">CHOOSE(D4,"보수","기본","공격")</f>
        <v>기본</v>
      </c>
    </row>
    <row r="6" customFormat="false" ht="16.4" hidden="false" customHeight="false" outlineLevel="0" collapsed="false">
      <c r="A6" s="6" t="s">
        <v>3</v>
      </c>
      <c r="B6" s="6"/>
      <c r="C6" s="6"/>
      <c r="D6" s="6"/>
      <c r="E6" s="6"/>
      <c r="F6" s="6"/>
      <c r="G6" s="6"/>
      <c r="H6" s="6"/>
    </row>
    <row r="7" customFormat="false" ht="15" hidden="false" customHeight="false" outlineLevel="0" collapsed="false">
      <c r="A7" s="7" t="s">
        <v>4</v>
      </c>
      <c r="B7" s="7" t="s">
        <v>5</v>
      </c>
      <c r="C7" s="7" t="s">
        <v>6</v>
      </c>
      <c r="D7" s="7" t="s">
        <v>7</v>
      </c>
      <c r="E7" s="7" t="s">
        <v>8</v>
      </c>
      <c r="F7" s="7" t="s">
        <v>9</v>
      </c>
    </row>
    <row r="8" customFormat="false" ht="15" hidden="false" customHeight="false" outlineLevel="0" collapsed="false">
      <c r="A8" s="8" t="s">
        <v>10</v>
      </c>
      <c r="B8" s="9" t="n">
        <v>5000</v>
      </c>
      <c r="C8" s="9" t="n">
        <v>10000</v>
      </c>
      <c r="D8" s="9" t="n">
        <v>10000</v>
      </c>
      <c r="E8" s="0" t="s">
        <v>11</v>
      </c>
      <c r="F8" s="10" t="s">
        <v>12</v>
      </c>
    </row>
    <row r="9" customFormat="false" ht="15" hidden="false" customHeight="false" outlineLevel="0" collapsed="false">
      <c r="A9" s="8" t="s">
        <v>13</v>
      </c>
      <c r="B9" s="9" t="n">
        <v>0</v>
      </c>
      <c r="C9" s="9" t="n">
        <v>5000</v>
      </c>
      <c r="D9" s="9" t="n">
        <v>10000</v>
      </c>
      <c r="E9" s="0" t="s">
        <v>14</v>
      </c>
      <c r="F9" s="10" t="s">
        <v>15</v>
      </c>
    </row>
    <row r="10" customFormat="false" ht="15" hidden="false" customHeight="false" outlineLevel="0" collapsed="false">
      <c r="A10" s="8" t="s">
        <v>16</v>
      </c>
      <c r="B10" s="9" t="n">
        <v>0</v>
      </c>
      <c r="C10" s="9" t="n">
        <v>0</v>
      </c>
      <c r="D10" s="9" t="n">
        <v>10000</v>
      </c>
      <c r="E10" s="0" t="s">
        <v>17</v>
      </c>
      <c r="F10" s="10" t="s">
        <v>18</v>
      </c>
    </row>
    <row r="11" customFormat="false" ht="15" hidden="false" customHeight="false" outlineLevel="0" collapsed="false">
      <c r="A11" s="8" t="s">
        <v>19</v>
      </c>
      <c r="B11" s="9" t="n">
        <v>500</v>
      </c>
      <c r="C11" s="9" t="n">
        <v>500</v>
      </c>
      <c r="D11" s="9" t="n">
        <v>500</v>
      </c>
      <c r="E11" s="0" t="s">
        <v>11</v>
      </c>
      <c r="F11" s="10" t="s">
        <v>20</v>
      </c>
    </row>
    <row r="12" customFormat="false" ht="15" hidden="false" customHeight="false" outlineLevel="0" collapsed="false">
      <c r="A12" s="11" t="s">
        <v>21</v>
      </c>
      <c r="B12" s="12" t="n">
        <f aca="false">SUM(B8:B11)</f>
        <v>5500</v>
      </c>
      <c r="C12" s="12" t="n">
        <f aca="false">SUM(C8:C11)</f>
        <v>15500</v>
      </c>
      <c r="D12" s="12" t="n">
        <f aca="false">SUM(D8:D11)</f>
        <v>30500</v>
      </c>
      <c r="F12" s="13" t="s">
        <v>22</v>
      </c>
    </row>
    <row r="14" customFormat="false" ht="16.4" hidden="false" customHeight="false" outlineLevel="0" collapsed="false">
      <c r="A14" s="6" t="s">
        <v>23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14" t="s">
        <v>24</v>
      </c>
      <c r="B15" s="14" t="s">
        <v>25</v>
      </c>
      <c r="C15" s="14" t="s">
        <v>26</v>
      </c>
      <c r="D15" s="14" t="s">
        <v>27</v>
      </c>
      <c r="F15" s="14" t="s">
        <v>9</v>
      </c>
    </row>
    <row r="16" customFormat="false" ht="15" hidden="false" customHeight="false" outlineLevel="0" collapsed="false">
      <c r="A16" s="0" t="s">
        <v>28</v>
      </c>
      <c r="B16" s="15" t="n">
        <v>500</v>
      </c>
      <c r="C16" s="15" t="n">
        <v>800</v>
      </c>
      <c r="D16" s="15" t="n">
        <v>1500</v>
      </c>
      <c r="F16" s="10" t="s">
        <v>29</v>
      </c>
    </row>
    <row r="17" customFormat="false" ht="15" hidden="false" customHeight="false" outlineLevel="0" collapsed="false">
      <c r="A17" s="0" t="s">
        <v>30</v>
      </c>
      <c r="B17" s="16" t="n">
        <v>1</v>
      </c>
      <c r="C17" s="16" t="n">
        <v>1</v>
      </c>
      <c r="D17" s="16" t="n">
        <v>2</v>
      </c>
      <c r="F17" s="13" t="s">
        <v>31</v>
      </c>
    </row>
    <row r="18" customFormat="false" ht="15" hidden="false" customHeight="false" outlineLevel="0" collapsed="false">
      <c r="A18" s="0" t="s">
        <v>32</v>
      </c>
      <c r="B18" s="16" t="n">
        <v>1</v>
      </c>
      <c r="C18" s="16" t="n">
        <v>3</v>
      </c>
      <c r="D18" s="16" t="n">
        <v>5</v>
      </c>
      <c r="F18" s="10" t="s">
        <v>33</v>
      </c>
    </row>
    <row r="19" customFormat="false" ht="15" hidden="false" customHeight="false" outlineLevel="0" collapsed="false">
      <c r="A19" s="0" t="s">
        <v>34</v>
      </c>
      <c r="B19" s="16" t="n">
        <v>2</v>
      </c>
      <c r="C19" s="16" t="n">
        <v>4</v>
      </c>
      <c r="D19" s="16" t="n">
        <v>8</v>
      </c>
      <c r="F19" s="10" t="s">
        <v>35</v>
      </c>
    </row>
    <row r="20" customFormat="false" ht="15" hidden="false" customHeight="false" outlineLevel="0" collapsed="false">
      <c r="A20" s="8" t="s">
        <v>36</v>
      </c>
      <c r="B20" s="17" t="n">
        <v>0</v>
      </c>
      <c r="C20" s="17" t="n">
        <v>0.1</v>
      </c>
      <c r="D20" s="17" t="n">
        <v>0.15</v>
      </c>
      <c r="F20" s="10" t="s">
        <v>37</v>
      </c>
    </row>
    <row r="23" customFormat="false" ht="16.4" hidden="false" customHeight="false" outlineLevel="0" collapsed="false">
      <c r="A23" s="6" t="s">
        <v>38</v>
      </c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A24" s="14" t="s">
        <v>24</v>
      </c>
      <c r="B24" s="14" t="s">
        <v>25</v>
      </c>
      <c r="C24" s="14" t="s">
        <v>26</v>
      </c>
      <c r="D24" s="14" t="s">
        <v>27</v>
      </c>
      <c r="F24" s="14" t="s">
        <v>9</v>
      </c>
    </row>
    <row r="25" customFormat="false" ht="15" hidden="false" customHeight="false" outlineLevel="0" collapsed="false">
      <c r="A25" s="8" t="s">
        <v>39</v>
      </c>
      <c r="B25" s="15" t="n">
        <v>3</v>
      </c>
      <c r="C25" s="15" t="n">
        <v>5</v>
      </c>
      <c r="D25" s="15" t="n">
        <v>8</v>
      </c>
      <c r="F25" s="13" t="s">
        <v>40</v>
      </c>
    </row>
    <row r="26" customFormat="false" ht="15" hidden="false" customHeight="false" outlineLevel="0" collapsed="false">
      <c r="A26" s="0" t="s">
        <v>41</v>
      </c>
      <c r="B26" s="16" t="n">
        <v>100</v>
      </c>
      <c r="C26" s="16" t="n">
        <v>300</v>
      </c>
      <c r="D26" s="16" t="n">
        <v>600</v>
      </c>
      <c r="F26" s="13" t="s">
        <v>42</v>
      </c>
    </row>
    <row r="27" customFormat="false" ht="15" hidden="false" customHeight="false" outlineLevel="0" collapsed="false">
      <c r="A27" s="0" t="s">
        <v>43</v>
      </c>
      <c r="B27" s="16" t="n">
        <v>400</v>
      </c>
      <c r="C27" s="16" t="n">
        <v>1200</v>
      </c>
      <c r="D27" s="16" t="n">
        <v>2400</v>
      </c>
      <c r="F27" s="10"/>
    </row>
    <row r="28" customFormat="false" ht="15" hidden="false" customHeight="false" outlineLevel="0" collapsed="false">
      <c r="A28" s="0" t="s">
        <v>44</v>
      </c>
      <c r="B28" s="16" t="n">
        <v>1000</v>
      </c>
      <c r="C28" s="16" t="n">
        <v>3000</v>
      </c>
      <c r="D28" s="16" t="n">
        <v>6000</v>
      </c>
      <c r="F28" s="10"/>
    </row>
    <row r="29" customFormat="false" ht="15" hidden="false" customHeight="false" outlineLevel="0" collapsed="false">
      <c r="A29" s="0" t="s">
        <v>45</v>
      </c>
      <c r="B29" s="16" t="n">
        <v>500</v>
      </c>
      <c r="C29" s="16" t="n">
        <v>500</v>
      </c>
      <c r="D29" s="16" t="n">
        <v>500</v>
      </c>
      <c r="F29" s="10" t="s">
        <v>46</v>
      </c>
    </row>
    <row r="31" customFormat="false" ht="16.4" hidden="false" customHeight="false" outlineLevel="0" collapsed="false">
      <c r="A31" s="6" t="s">
        <v>47</v>
      </c>
      <c r="B31" s="6"/>
      <c r="C31" s="6"/>
      <c r="D31" s="6"/>
      <c r="E31" s="6"/>
      <c r="F31" s="6"/>
      <c r="G31" s="6"/>
      <c r="H31" s="6"/>
    </row>
    <row r="32" customFormat="false" ht="15" hidden="false" customHeight="false" outlineLevel="0" collapsed="false">
      <c r="A32" s="14" t="s">
        <v>24</v>
      </c>
      <c r="B32" s="14" t="s">
        <v>25</v>
      </c>
      <c r="C32" s="14" t="s">
        <v>26</v>
      </c>
      <c r="D32" s="14" t="s">
        <v>27</v>
      </c>
      <c r="F32" s="14" t="s">
        <v>9</v>
      </c>
    </row>
    <row r="33" customFormat="false" ht="15" hidden="false" customHeight="false" outlineLevel="0" collapsed="false">
      <c r="A33" s="8" t="s">
        <v>48</v>
      </c>
      <c r="B33" s="18" t="n">
        <v>9900</v>
      </c>
      <c r="C33" s="18" t="n">
        <v>14900</v>
      </c>
      <c r="D33" s="18" t="n">
        <v>19900</v>
      </c>
      <c r="F33" s="10" t="s">
        <v>49</v>
      </c>
    </row>
    <row r="34" customFormat="false" ht="15" hidden="false" customHeight="false" outlineLevel="0" collapsed="false">
      <c r="A34" s="0" t="s">
        <v>50</v>
      </c>
      <c r="B34" s="16" t="n">
        <v>50</v>
      </c>
      <c r="C34" s="16" t="n">
        <v>200</v>
      </c>
      <c r="D34" s="16" t="n">
        <v>500</v>
      </c>
      <c r="F34" s="13" t="s">
        <v>51</v>
      </c>
    </row>
    <row r="35" customFormat="false" ht="15" hidden="false" customHeight="false" outlineLevel="0" collapsed="false">
      <c r="A35" s="0" t="s">
        <v>52</v>
      </c>
      <c r="B35" s="16" t="n">
        <v>300</v>
      </c>
      <c r="C35" s="16" t="n">
        <v>1000</v>
      </c>
      <c r="D35" s="16" t="n">
        <v>2500</v>
      </c>
      <c r="F35" s="10"/>
    </row>
    <row r="36" customFormat="false" ht="15" hidden="false" customHeight="false" outlineLevel="0" collapsed="false">
      <c r="A36" s="0" t="s">
        <v>53</v>
      </c>
      <c r="B36" s="16" t="n">
        <v>800</v>
      </c>
      <c r="C36" s="16" t="n">
        <v>2500</v>
      </c>
      <c r="D36" s="16" t="n">
        <v>6000</v>
      </c>
      <c r="F36" s="10"/>
    </row>
    <row r="37" customFormat="false" ht="15" hidden="false" customHeight="false" outlineLevel="0" collapsed="false">
      <c r="A37" s="8" t="s">
        <v>54</v>
      </c>
      <c r="B37" s="17" t="n">
        <v>0.1</v>
      </c>
      <c r="C37" s="17" t="n">
        <v>0.07</v>
      </c>
      <c r="D37" s="17" t="n">
        <v>0.05</v>
      </c>
      <c r="F37" s="10" t="s">
        <v>55</v>
      </c>
    </row>
    <row r="39" customFormat="false" ht="16.4" hidden="false" customHeight="false" outlineLevel="0" collapsed="false">
      <c r="A39" s="6" t="s">
        <v>56</v>
      </c>
      <c r="B39" s="6"/>
      <c r="C39" s="6"/>
      <c r="D39" s="6"/>
      <c r="E39" s="6"/>
      <c r="F39" s="6"/>
      <c r="G39" s="6"/>
      <c r="H39" s="6"/>
    </row>
    <row r="40" customFormat="false" ht="15" hidden="false" customHeight="false" outlineLevel="0" collapsed="false">
      <c r="A40" s="14" t="s">
        <v>57</v>
      </c>
      <c r="B40" s="19" t="s">
        <v>58</v>
      </c>
      <c r="C40" s="19" t="s">
        <v>59</v>
      </c>
      <c r="D40" s="19" t="s">
        <v>60</v>
      </c>
      <c r="F40" s="14" t="s">
        <v>9</v>
      </c>
    </row>
    <row r="41" customFormat="false" ht="15" hidden="false" customHeight="false" outlineLevel="0" collapsed="false">
      <c r="A41" s="8" t="s">
        <v>61</v>
      </c>
      <c r="B41" s="9" t="n">
        <v>10</v>
      </c>
      <c r="C41" s="9" t="n">
        <v>30</v>
      </c>
      <c r="D41" s="9" t="n">
        <v>60</v>
      </c>
      <c r="F41" s="13" t="s">
        <v>62</v>
      </c>
    </row>
    <row r="42" customFormat="false" ht="15" hidden="false" customHeight="false" outlineLevel="0" collapsed="false">
      <c r="A42" s="0" t="s">
        <v>63</v>
      </c>
      <c r="B42" s="9" t="n">
        <v>5</v>
      </c>
      <c r="C42" s="9" t="n">
        <v>30</v>
      </c>
      <c r="D42" s="9" t="n">
        <v>100</v>
      </c>
      <c r="F42" s="13" t="s">
        <v>64</v>
      </c>
    </row>
    <row r="43" customFormat="false" ht="15" hidden="false" customHeight="false" outlineLevel="0" collapsed="false">
      <c r="A43" s="8" t="s">
        <v>65</v>
      </c>
      <c r="B43" s="9" t="n">
        <v>2</v>
      </c>
      <c r="C43" s="9" t="n">
        <v>5</v>
      </c>
      <c r="D43" s="9" t="n">
        <v>10</v>
      </c>
      <c r="F43" s="10" t="s">
        <v>66</v>
      </c>
    </row>
    <row r="44" customFormat="false" ht="15" hidden="false" customHeight="false" outlineLevel="0" collapsed="false">
      <c r="A44" s="8" t="s">
        <v>67</v>
      </c>
      <c r="B44" s="9" t="n">
        <v>20</v>
      </c>
      <c r="C44" s="9" t="n">
        <v>100</v>
      </c>
      <c r="D44" s="9" t="n">
        <v>200</v>
      </c>
      <c r="F44" s="10" t="s">
        <v>68</v>
      </c>
    </row>
    <row r="45" customFormat="false" ht="15" hidden="false" customHeight="false" outlineLevel="0" collapsed="false">
      <c r="A45" s="8" t="s">
        <v>69</v>
      </c>
      <c r="B45" s="9" t="n">
        <v>0</v>
      </c>
      <c r="C45" s="9" t="n">
        <v>300</v>
      </c>
      <c r="D45" s="9" t="n">
        <v>500</v>
      </c>
      <c r="F45" s="13" t="s">
        <v>70</v>
      </c>
    </row>
    <row r="46" customFormat="false" ht="15" hidden="false" customHeight="false" outlineLevel="0" collapsed="false">
      <c r="A46" s="8" t="s">
        <v>71</v>
      </c>
      <c r="B46" s="9" t="n">
        <v>0</v>
      </c>
      <c r="C46" s="9" t="n">
        <v>100</v>
      </c>
      <c r="D46" s="9" t="n">
        <v>200</v>
      </c>
      <c r="F46" s="10" t="s">
        <v>72</v>
      </c>
    </row>
    <row r="47" customFormat="false" ht="15" hidden="false" customHeight="false" outlineLevel="0" collapsed="false">
      <c r="A47" s="11" t="s">
        <v>73</v>
      </c>
      <c r="B47" s="12" t="n">
        <f aca="false">SUM(B41:B46)</f>
        <v>37</v>
      </c>
      <c r="C47" s="12" t="n">
        <f aca="false">SUM(C41:C46)</f>
        <v>565</v>
      </c>
      <c r="D47" s="12" t="n">
        <f aca="false">SUM(D41:D46)</f>
        <v>1070</v>
      </c>
    </row>
    <row r="48" customFormat="false" ht="15" hidden="false" customHeight="false" outlineLevel="0" collapsed="false">
      <c r="A48" s="11" t="s">
        <v>74</v>
      </c>
      <c r="B48" s="12" t="n">
        <f aca="false">B47*12</f>
        <v>444</v>
      </c>
      <c r="C48" s="12" t="n">
        <f aca="false">C47*12</f>
        <v>6780</v>
      </c>
      <c r="D48" s="12" t="n">
        <f aca="false">D47*12</f>
        <v>12840</v>
      </c>
    </row>
  </sheetData>
  <mergeCells count="8">
    <mergeCell ref="A1:H1"/>
    <mergeCell ref="A2:H2"/>
    <mergeCell ref="A4:C4"/>
    <mergeCell ref="A6:H6"/>
    <mergeCell ref="A14:H14"/>
    <mergeCell ref="A23:H23"/>
    <mergeCell ref="A31:H31"/>
    <mergeCell ref="A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1"/>
  </cols>
  <sheetData>
    <row r="1" customFormat="false" ht="19.4" hidden="false" customHeight="fals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0" t="s">
        <v>76</v>
      </c>
      <c r="B2" s="20" t="str">
        <f aca="false">'1. 가정'!E4</f>
        <v>기본</v>
      </c>
    </row>
    <row r="4" customFormat="false" ht="15" hidden="false" customHeight="false" outlineLevel="0" collapsed="false">
      <c r="A4" s="7" t="s">
        <v>77</v>
      </c>
      <c r="B4" s="21" t="s">
        <v>78</v>
      </c>
      <c r="C4" s="21" t="s">
        <v>11</v>
      </c>
      <c r="D4" s="21" t="s">
        <v>14</v>
      </c>
      <c r="E4" s="21" t="s">
        <v>17</v>
      </c>
      <c r="F4" s="21" t="s">
        <v>79</v>
      </c>
      <c r="G4" s="21" t="s">
        <v>80</v>
      </c>
      <c r="H4" s="21" t="s">
        <v>81</v>
      </c>
      <c r="I4" s="21" t="s">
        <v>82</v>
      </c>
      <c r="J4" s="21" t="s">
        <v>83</v>
      </c>
      <c r="K4" s="21" t="s">
        <v>84</v>
      </c>
      <c r="L4" s="21" t="s">
        <v>85</v>
      </c>
      <c r="M4" s="21" t="s">
        <v>86</v>
      </c>
      <c r="N4" s="7" t="s">
        <v>87</v>
      </c>
    </row>
    <row r="6" customFormat="false" ht="15" hidden="false" customHeight="false" outlineLevel="0" collapsed="false">
      <c r="A6" s="22" t="s">
        <v>88</v>
      </c>
    </row>
    <row r="7" customFormat="false" ht="15" hidden="false" customHeight="false" outlineLevel="0" collapsed="false">
      <c r="A7" s="8" t="s">
        <v>89</v>
      </c>
      <c r="B7" s="23" t="n">
        <v>0</v>
      </c>
      <c r="C7" s="23" t="n">
        <f aca="false">CHOOSE('1. 가정'!$D$4,'1. 가정'!B8,'1. 가정'!C8,'1. 가정'!D8)</f>
        <v>10000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0</v>
      </c>
      <c r="L7" s="23" t="n">
        <v>0</v>
      </c>
      <c r="M7" s="23" t="n">
        <v>0</v>
      </c>
      <c r="N7" s="12" t="n">
        <f aca="false">SUM(B7:M7)</f>
        <v>10000</v>
      </c>
    </row>
    <row r="8" customFormat="false" ht="15" hidden="false" customHeight="false" outlineLevel="0" collapsed="false">
      <c r="A8" s="8" t="s">
        <v>90</v>
      </c>
      <c r="B8" s="23" t="n">
        <v>0</v>
      </c>
      <c r="C8" s="23" t="n">
        <v>0</v>
      </c>
      <c r="D8" s="23" t="n">
        <f aca="false">CHOOSE('1. 가정'!$D$4,'1. 가정'!B9,'1. 가정'!C9,'1. 가정'!D9)</f>
        <v>5000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12" t="n">
        <f aca="false">SUM(B8:M8)</f>
        <v>5000</v>
      </c>
    </row>
    <row r="9" customFormat="false" ht="15" hidden="false" customHeight="false" outlineLevel="0" collapsed="false">
      <c r="A9" s="8" t="s">
        <v>91</v>
      </c>
      <c r="B9" s="23" t="n">
        <v>0</v>
      </c>
      <c r="C9" s="23" t="n">
        <v>0</v>
      </c>
      <c r="D9" s="23" t="n">
        <v>0</v>
      </c>
      <c r="E9" s="23" t="n">
        <f aca="false">CHOOSE('1. 가정'!$D$4,'1. 가정'!B10,'1. 가정'!C10,'1. 가정'!D10)</f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0</v>
      </c>
      <c r="N9" s="12" t="n">
        <f aca="false">SUM(B9:M9)</f>
        <v>0</v>
      </c>
    </row>
    <row r="10" customFormat="false" ht="15" hidden="false" customHeight="false" outlineLevel="0" collapsed="false">
      <c r="A10" s="8" t="s">
        <v>92</v>
      </c>
      <c r="B10" s="23" t="n">
        <v>0</v>
      </c>
      <c r="C10" s="23" t="n">
        <f aca="false">CHOOSE('1. 가정'!$D$4,'1. 가정'!B11,'1. 가정'!C11,'1. 가정'!D11)</f>
        <v>500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0</v>
      </c>
      <c r="J10" s="23" t="n">
        <v>0</v>
      </c>
      <c r="K10" s="23" t="n">
        <v>0</v>
      </c>
      <c r="L10" s="23" t="n">
        <v>0</v>
      </c>
      <c r="M10" s="23" t="n">
        <v>0</v>
      </c>
      <c r="N10" s="12" t="n">
        <f aca="false">SUM(B10:M10)</f>
        <v>500</v>
      </c>
    </row>
    <row r="11" customFormat="false" ht="15" hidden="false" customHeight="false" outlineLevel="0" collapsed="false">
      <c r="A11" s="11" t="s">
        <v>93</v>
      </c>
      <c r="B11" s="12" t="n">
        <f aca="false">SUM(B7:B10)</f>
        <v>0</v>
      </c>
      <c r="C11" s="12" t="n">
        <f aca="false">SUM(C7:C10)</f>
        <v>10500</v>
      </c>
      <c r="D11" s="12" t="n">
        <f aca="false">SUM(D7:D10)</f>
        <v>5000</v>
      </c>
      <c r="E11" s="12" t="n">
        <f aca="false">SUM(E7:E10)</f>
        <v>0</v>
      </c>
      <c r="F11" s="12" t="n">
        <f aca="false">SUM(F7:F10)</f>
        <v>0</v>
      </c>
      <c r="G11" s="12" t="n">
        <f aca="false">SUM(G7:G10)</f>
        <v>0</v>
      </c>
      <c r="H11" s="12" t="n">
        <f aca="false">SUM(H7:H10)</f>
        <v>0</v>
      </c>
      <c r="I11" s="12" t="n">
        <f aca="false">SUM(I7:I10)</f>
        <v>0</v>
      </c>
      <c r="J11" s="12" t="n">
        <f aca="false">SUM(J7:J10)</f>
        <v>0</v>
      </c>
      <c r="K11" s="12" t="n">
        <f aca="false">SUM(K7:K10)</f>
        <v>0</v>
      </c>
      <c r="L11" s="12" t="n">
        <f aca="false">SUM(L7:L10)</f>
        <v>0</v>
      </c>
      <c r="M11" s="12" t="n">
        <f aca="false">SUM(M7:M10)</f>
        <v>0</v>
      </c>
      <c r="N11" s="12" t="n">
        <f aca="false">SUM(N7:N10)</f>
        <v>15500</v>
      </c>
    </row>
    <row r="13" customFormat="false" ht="15" hidden="false" customHeight="false" outlineLevel="0" collapsed="false">
      <c r="A13" s="24" t="s">
        <v>94</v>
      </c>
    </row>
    <row r="14" customFormat="false" ht="15" hidden="false" customHeight="false" outlineLevel="0" collapsed="false">
      <c r="A14" s="8" t="s">
        <v>95</v>
      </c>
      <c r="B14" s="25" t="n">
        <v>0</v>
      </c>
      <c r="C14" s="25" t="n">
        <f aca="false">(CHOOSE('1. 가정'!$D$4,'1. 가정'!B17,'1. 가정'!C17,'1. 가정'!D17))/3</f>
        <v>0.333333333333333</v>
      </c>
      <c r="D14" s="25" t="n">
        <f aca="false">(CHOOSE('1. 가정'!$D$4,'1. 가정'!B17,'1. 가정'!C17,'1. 가정'!D17))/3</f>
        <v>0.333333333333333</v>
      </c>
      <c r="E14" s="25" t="n">
        <f aca="false">(CHOOSE('1. 가정'!$D$4,'1. 가정'!B17,'1. 가정'!C17,'1. 가정'!D17))/3</f>
        <v>0.333333333333333</v>
      </c>
      <c r="F14" s="25" t="n">
        <f aca="false">(CHOOSE('1. 가정'!$D$4,'1. 가정'!B18,'1. 가정'!C18,'1. 가정'!D18))/4</f>
        <v>0.75</v>
      </c>
      <c r="G14" s="25" t="n">
        <f aca="false">(CHOOSE('1. 가정'!$D$4,'1. 가정'!B18,'1. 가정'!C18,'1. 가정'!D18))/4</f>
        <v>0.75</v>
      </c>
      <c r="H14" s="25" t="n">
        <f aca="false">(CHOOSE('1. 가정'!$D$4,'1. 가정'!B18,'1. 가정'!C18,'1. 가정'!D18))/4</f>
        <v>0.75</v>
      </c>
      <c r="I14" s="25" t="n">
        <f aca="false">(CHOOSE('1. 가정'!$D$4,'1. 가정'!B18,'1. 가정'!C18,'1. 가정'!D18))/4</f>
        <v>0.75</v>
      </c>
      <c r="J14" s="25" t="n">
        <f aca="false">(CHOOSE('1. 가정'!$D$4,'1. 가정'!B19,'1. 가정'!C19,'1. 가정'!D19))/4</f>
        <v>1</v>
      </c>
      <c r="K14" s="25" t="n">
        <f aca="false">(CHOOSE('1. 가정'!$D$4,'1. 가정'!B19,'1. 가정'!C19,'1. 가정'!D19))/4</f>
        <v>1</v>
      </c>
      <c r="L14" s="25" t="n">
        <f aca="false">(CHOOSE('1. 가정'!$D$4,'1. 가정'!B19,'1. 가정'!C19,'1. 가정'!D19))/4</f>
        <v>1</v>
      </c>
      <c r="M14" s="25" t="n">
        <f aca="false">(CHOOSE('1. 가정'!$D$4,'1. 가정'!B19,'1. 가정'!C19,'1. 가정'!D19))/4</f>
        <v>1</v>
      </c>
      <c r="N14" s="25" t="n">
        <f aca="false">SUM(B14:M14)</f>
        <v>8</v>
      </c>
    </row>
    <row r="15" customFormat="false" ht="15" hidden="false" customHeight="false" outlineLevel="0" collapsed="false">
      <c r="A15" s="8" t="s">
        <v>96</v>
      </c>
      <c r="B15" s="25" t="n">
        <f aca="false">B14</f>
        <v>0</v>
      </c>
      <c r="C15" s="25" t="n">
        <f aca="false">B15*(1-(CHOOSE('1. 가정'!$D$4,'1. 가정'!B20,'1. 가정'!C20,'1. 가정'!D20))/4)+C14</f>
        <v>0.333333333333333</v>
      </c>
      <c r="D15" s="25" t="n">
        <f aca="false">C15*(1-(CHOOSE('1. 가정'!$D$4,'1. 가정'!B20,'1. 가정'!C20,'1. 가정'!D20))/4)+D14</f>
        <v>0.658333333333333</v>
      </c>
      <c r="E15" s="25" t="n">
        <f aca="false">D15*(1-(CHOOSE('1. 가정'!$D$4,'1. 가정'!B20,'1. 가정'!C20,'1. 가정'!D20))/4)+E14</f>
        <v>0.975208333333333</v>
      </c>
      <c r="F15" s="25" t="n">
        <f aca="false">E15*(1-(CHOOSE('1. 가정'!$D$4,'1. 가정'!B20,'1. 가정'!C20,'1. 가정'!D20))/4)+F14</f>
        <v>1.700828125</v>
      </c>
      <c r="G15" s="25" t="n">
        <f aca="false">F15*(1-(CHOOSE('1. 가정'!$D$4,'1. 가정'!B20,'1. 가정'!C20,'1. 가정'!D20))/4)+G14</f>
        <v>2.408307421875</v>
      </c>
      <c r="H15" s="25" t="n">
        <f aca="false">G15*(1-(CHOOSE('1. 가정'!$D$4,'1. 가정'!B20,'1. 가정'!C20,'1. 가정'!D20))/4)+H14</f>
        <v>3.09809973632812</v>
      </c>
      <c r="I15" s="25" t="n">
        <f aca="false">H15*(1-(CHOOSE('1. 가정'!$D$4,'1. 가정'!B20,'1. 가정'!C20,'1. 가정'!D20))/4)+I14</f>
        <v>3.77064724291992</v>
      </c>
      <c r="J15" s="25" t="n">
        <f aca="false">I15*(1-(CHOOSE('1. 가정'!$D$4,'1. 가정'!B20,'1. 가정'!C20,'1. 가정'!D20))/4)+J14</f>
        <v>4.67638106184692</v>
      </c>
      <c r="K15" s="25" t="n">
        <f aca="false">J15*(1-(CHOOSE('1. 가정'!$D$4,'1. 가정'!B20,'1. 가정'!C20,'1. 가정'!D20))/4)+K14</f>
        <v>5.55947153530075</v>
      </c>
      <c r="L15" s="25" t="n">
        <f aca="false">K15*(1-(CHOOSE('1. 가정'!$D$4,'1. 가정'!B20,'1. 가정'!C20,'1. 가정'!D20))/4)+L14</f>
        <v>6.42048474691823</v>
      </c>
      <c r="M15" s="25" t="n">
        <f aca="false">L15*(1-(CHOOSE('1. 가정'!$D$4,'1. 가정'!B20,'1. 가정'!C20,'1. 가정'!D20))/4)+M14</f>
        <v>7.25997262824528</v>
      </c>
    </row>
    <row r="16" customFormat="false" ht="15" hidden="false" customHeight="false" outlineLevel="0" collapsed="false">
      <c r="A16" s="26" t="s">
        <v>97</v>
      </c>
      <c r="B16" s="12" t="n">
        <f aca="false">B15*(CHOOSE('1. 가정'!$D$4,'1. 가정'!B16,'1. 가정'!C16,'1. 가정'!D16))/4</f>
        <v>0</v>
      </c>
      <c r="C16" s="12" t="n">
        <f aca="false">C15*(CHOOSE('1. 가정'!$D$4,'1. 가정'!B16,'1. 가정'!C16,'1. 가정'!D16))/4</f>
        <v>66.6666666666667</v>
      </c>
      <c r="D16" s="12" t="n">
        <f aca="false">D15*(CHOOSE('1. 가정'!$D$4,'1. 가정'!B16,'1. 가정'!C16,'1. 가정'!D16))/4</f>
        <v>131.666666666667</v>
      </c>
      <c r="E16" s="12" t="n">
        <f aca="false">E15*(CHOOSE('1. 가정'!$D$4,'1. 가정'!B16,'1. 가정'!C16,'1. 가정'!D16))/4</f>
        <v>195.041666666667</v>
      </c>
      <c r="F16" s="12" t="n">
        <f aca="false">F15*(CHOOSE('1. 가정'!$D$4,'1. 가정'!B16,'1. 가정'!C16,'1. 가정'!D16))/4</f>
        <v>340.165625</v>
      </c>
      <c r="G16" s="12" t="n">
        <f aca="false">G15*(CHOOSE('1. 가정'!$D$4,'1. 가정'!B16,'1. 가정'!C16,'1. 가정'!D16))/4</f>
        <v>481.661484375</v>
      </c>
      <c r="H16" s="12" t="n">
        <f aca="false">H15*(CHOOSE('1. 가정'!$D$4,'1. 가정'!B16,'1. 가정'!C16,'1. 가정'!D16))/4</f>
        <v>619.619947265625</v>
      </c>
      <c r="I16" s="12" t="n">
        <f aca="false">I15*(CHOOSE('1. 가정'!$D$4,'1. 가정'!B16,'1. 가정'!C16,'1. 가정'!D16))/4</f>
        <v>754.129448583984</v>
      </c>
      <c r="J16" s="12" t="n">
        <f aca="false">J15*(CHOOSE('1. 가정'!$D$4,'1. 가정'!B16,'1. 가정'!C16,'1. 가정'!D16))/4</f>
        <v>935.276212369385</v>
      </c>
      <c r="K16" s="12" t="n">
        <f aca="false">K15*(CHOOSE('1. 가정'!$D$4,'1. 가정'!B16,'1. 가정'!C16,'1. 가정'!D16))/4</f>
        <v>1111.89430706015</v>
      </c>
      <c r="L16" s="12" t="n">
        <f aca="false">L15*(CHOOSE('1. 가정'!$D$4,'1. 가정'!B16,'1. 가정'!C16,'1. 가정'!D16))/4</f>
        <v>1284.09694938365</v>
      </c>
      <c r="M16" s="12" t="n">
        <f aca="false">M15*(CHOOSE('1. 가정'!$D$4,'1. 가정'!B16,'1. 가정'!C16,'1. 가정'!D16))/4</f>
        <v>1451.99452564906</v>
      </c>
      <c r="N16" s="12" t="n">
        <f aca="false">SUM(B16:M16)</f>
        <v>7372.21349968684</v>
      </c>
    </row>
    <row r="18" customFormat="false" ht="15" hidden="false" customHeight="false" outlineLevel="0" collapsed="false">
      <c r="A18" s="22" t="s">
        <v>98</v>
      </c>
    </row>
    <row r="19" customFormat="false" ht="15" hidden="false" customHeight="false" outlineLevel="0" collapsed="false">
      <c r="A19" s="8" t="s">
        <v>99</v>
      </c>
      <c r="B19" s="27" t="n">
        <v>0</v>
      </c>
      <c r="C19" s="27" t="n">
        <f aca="false">(CHOOSE('1. 가정'!$D$4,'1. 가정'!B26,'1. 가정'!C26,'1. 가정'!D26))*0.1</f>
        <v>30</v>
      </c>
      <c r="D19" s="27" t="n">
        <f aca="false">(CHOOSE('1. 가정'!$D$4,'1. 가정'!B26,'1. 가정'!C26,'1. 가정'!D26))*0.35</f>
        <v>105</v>
      </c>
      <c r="E19" s="27" t="n">
        <f aca="false">(CHOOSE('1. 가정'!$D$4,'1. 가정'!B26,'1. 가정'!C26,'1. 가정'!D26))*0.55</f>
        <v>165</v>
      </c>
      <c r="F19" s="27" t="n">
        <f aca="false">(CHOOSE('1. 가정'!$D$4,'1. 가정'!B27,'1. 가정'!C27,'1. 가정'!D27) - CHOOSE('1. 가정'!$D$4,'1. 가정'!B26,'1. 가정'!C26,'1. 가정'!D26))/4</f>
        <v>225</v>
      </c>
      <c r="G19" s="27" t="n">
        <f aca="false">(CHOOSE('1. 가정'!$D$4,'1. 가정'!B27,'1. 가정'!C27,'1. 가정'!D27) - CHOOSE('1. 가정'!$D$4,'1. 가정'!B26,'1. 가정'!C26,'1. 가정'!D26))/4</f>
        <v>225</v>
      </c>
      <c r="H19" s="27" t="n">
        <f aca="false">(CHOOSE('1. 가정'!$D$4,'1. 가정'!B27,'1. 가정'!C27,'1. 가정'!D27) - CHOOSE('1. 가정'!$D$4,'1. 가정'!B26,'1. 가정'!C26,'1. 가정'!D26))/4</f>
        <v>225</v>
      </c>
      <c r="I19" s="27" t="n">
        <f aca="false">(CHOOSE('1. 가정'!$D$4,'1. 가정'!B27,'1. 가정'!C27,'1. 가정'!D27) - CHOOSE('1. 가정'!$D$4,'1. 가정'!B26,'1. 가정'!C26,'1. 가정'!D26))/4</f>
        <v>225</v>
      </c>
      <c r="J19" s="27" t="n">
        <f aca="false">(CHOOSE('1. 가정'!$D$4,'1. 가정'!B28,'1. 가정'!C28,'1. 가정'!D28) - CHOOSE('1. 가정'!$D$4,'1. 가정'!B27,'1. 가정'!C27,'1. 가정'!D27))/4</f>
        <v>450</v>
      </c>
      <c r="K19" s="27" t="n">
        <f aca="false">(CHOOSE('1. 가정'!$D$4,'1. 가정'!B28,'1. 가정'!C28,'1. 가정'!D28) - CHOOSE('1. 가정'!$D$4,'1. 가정'!B27,'1. 가정'!C27,'1. 가정'!D27))/4</f>
        <v>450</v>
      </c>
      <c r="L19" s="27" t="n">
        <f aca="false">(CHOOSE('1. 가정'!$D$4,'1. 가정'!B28,'1. 가정'!C28,'1. 가정'!D28) - CHOOSE('1. 가정'!$D$4,'1. 가정'!B27,'1. 가정'!C27,'1. 가정'!D27))/4</f>
        <v>450</v>
      </c>
      <c r="M19" s="27" t="n">
        <f aca="false">(CHOOSE('1. 가정'!$D$4,'1. 가정'!B28,'1. 가정'!C28,'1. 가정'!D28) - CHOOSE('1. 가정'!$D$4,'1. 가정'!B27,'1. 가정'!C27,'1. 가정'!D27))/4</f>
        <v>450</v>
      </c>
      <c r="N19" s="27" t="n">
        <f aca="false">SUM(B19:M19)</f>
        <v>3000</v>
      </c>
    </row>
    <row r="20" customFormat="false" ht="15" hidden="false" customHeight="false" outlineLevel="0" collapsed="false">
      <c r="A20" s="26" t="s">
        <v>100</v>
      </c>
      <c r="B20" s="12" t="n">
        <f aca="false">B19*(CHOOSE('1. 가정'!$D$4,'1. 가정'!B25,'1. 가정'!C25,'1. 가정'!D25))</f>
        <v>0</v>
      </c>
      <c r="C20" s="12" t="n">
        <f aca="false">C19*(CHOOSE('1. 가정'!$D$4,'1. 가정'!B25,'1. 가정'!C25,'1. 가정'!D25))</f>
        <v>150</v>
      </c>
      <c r="D20" s="12" t="n">
        <f aca="false">D19*(CHOOSE('1. 가정'!$D$4,'1. 가정'!B25,'1. 가정'!C25,'1. 가정'!D25))</f>
        <v>525</v>
      </c>
      <c r="E20" s="12" t="n">
        <f aca="false">E19*(CHOOSE('1. 가정'!$D$4,'1. 가정'!B25,'1. 가정'!C25,'1. 가정'!D25))</f>
        <v>825</v>
      </c>
      <c r="F20" s="12" t="n">
        <f aca="false">F19*(CHOOSE('1. 가정'!$D$4,'1. 가정'!B25,'1. 가정'!C25,'1. 가정'!D25))</f>
        <v>1125</v>
      </c>
      <c r="G20" s="12" t="n">
        <f aca="false">G19*(CHOOSE('1. 가정'!$D$4,'1. 가정'!B25,'1. 가정'!C25,'1. 가정'!D25))</f>
        <v>1125</v>
      </c>
      <c r="H20" s="12" t="n">
        <f aca="false">H19*(CHOOSE('1. 가정'!$D$4,'1. 가정'!B25,'1. 가정'!C25,'1. 가정'!D25))</f>
        <v>1125</v>
      </c>
      <c r="I20" s="12" t="n">
        <f aca="false">I19*(CHOOSE('1. 가정'!$D$4,'1. 가정'!B25,'1. 가정'!C25,'1. 가정'!D25))</f>
        <v>1125</v>
      </c>
      <c r="J20" s="12" t="n">
        <f aca="false">J19*(CHOOSE('1. 가정'!$D$4,'1. 가정'!B25,'1. 가정'!C25,'1. 가정'!D25))</f>
        <v>2250</v>
      </c>
      <c r="K20" s="12" t="n">
        <f aca="false">K19*(CHOOSE('1. 가정'!$D$4,'1. 가정'!B25,'1. 가정'!C25,'1. 가정'!D25))</f>
        <v>2250</v>
      </c>
      <c r="L20" s="12" t="n">
        <f aca="false">L19*(CHOOSE('1. 가정'!$D$4,'1. 가정'!B25,'1. 가정'!C25,'1. 가정'!D25))</f>
        <v>2250</v>
      </c>
      <c r="M20" s="12" t="n">
        <f aca="false">M19*(CHOOSE('1. 가정'!$D$4,'1. 가정'!B25,'1. 가정'!C25,'1. 가정'!D25))</f>
        <v>2250</v>
      </c>
      <c r="N20" s="12" t="n">
        <f aca="false">SUM(B20:M20)</f>
        <v>15000</v>
      </c>
    </row>
    <row r="22" customFormat="false" ht="15" hidden="false" customHeight="false" outlineLevel="0" collapsed="false">
      <c r="A22" s="24" t="s">
        <v>101</v>
      </c>
    </row>
    <row r="23" customFormat="false" ht="15" hidden="false" customHeight="false" outlineLevel="0" collapsed="false">
      <c r="A23" s="8" t="s">
        <v>102</v>
      </c>
      <c r="B23" s="27" t="n">
        <v>0</v>
      </c>
      <c r="C23" s="27" t="n">
        <v>0</v>
      </c>
      <c r="D23" s="27" t="n">
        <f aca="false">(CHOOSE('1. 가정'!$D$4,'1. 가정'!B34,'1. 가정'!C34,'1. 가정'!D34))*0.3</f>
        <v>60</v>
      </c>
      <c r="E23" s="27" t="n">
        <f aca="false">CHOOSE('1. 가정'!$D$4,'1. 가정'!B34,'1. 가정'!C34,'1. 가정'!D34)</f>
        <v>200</v>
      </c>
      <c r="F23" s="27" t="n">
        <f aca="false">CHOOSE('1. 가정'!$D$4,'1. 가정'!B34,'1. 가정'!C34,'1. 가정'!D34)+(CHOOSE('1. 가정'!$D$4,'1. 가정'!B35,'1. 가정'!C35,'1. 가정'!D35)-CHOOSE('1. 가정'!$D$4,'1. 가정'!B34,'1. 가정'!C34,'1. 가정'!D34))*0.2</f>
        <v>360</v>
      </c>
      <c r="G23" s="27" t="n">
        <f aca="false">CHOOSE('1. 가정'!$D$4,'1. 가정'!B34,'1. 가정'!C34,'1. 가정'!D34)+(CHOOSE('1. 가정'!$D$4,'1. 가정'!B35,'1. 가정'!C35,'1. 가정'!D35)-CHOOSE('1. 가정'!$D$4,'1. 가정'!B34,'1. 가정'!C34,'1. 가정'!D34))*0.45</f>
        <v>560</v>
      </c>
      <c r="H23" s="27" t="n">
        <f aca="false">CHOOSE('1. 가정'!$D$4,'1. 가정'!B34,'1. 가정'!C34,'1. 가정'!D34)+(CHOOSE('1. 가정'!$D$4,'1. 가정'!B35,'1. 가정'!C35,'1. 가정'!D35)-CHOOSE('1. 가정'!$D$4,'1. 가정'!B34,'1. 가정'!C34,'1. 가정'!D34))*0.7</f>
        <v>760</v>
      </c>
      <c r="I23" s="27" t="n">
        <f aca="false">CHOOSE('1. 가정'!$D$4,'1. 가정'!B35,'1. 가정'!C35,'1. 가정'!D35)</f>
        <v>1000</v>
      </c>
      <c r="J23" s="27" t="n">
        <f aca="false">CHOOSE('1. 가정'!$D$4,'1. 가정'!B35,'1. 가정'!C35,'1. 가정'!D35)+(CHOOSE('1. 가정'!$D$4,'1. 가정'!B36,'1. 가정'!C36,'1. 가정'!D36)-CHOOSE('1. 가정'!$D$4,'1. 가정'!B35,'1. 가정'!C35,'1. 가정'!D35))*0.2</f>
        <v>1300</v>
      </c>
      <c r="K23" s="27" t="n">
        <f aca="false">CHOOSE('1. 가정'!$D$4,'1. 가정'!B35,'1. 가정'!C35,'1. 가정'!D35)+(CHOOSE('1. 가정'!$D$4,'1. 가정'!B36,'1. 가정'!C36,'1. 가정'!D36)-CHOOSE('1. 가정'!$D$4,'1. 가정'!B35,'1. 가정'!C35,'1. 가정'!D35))*0.45</f>
        <v>1675</v>
      </c>
      <c r="L23" s="27" t="n">
        <f aca="false">CHOOSE('1. 가정'!$D$4,'1. 가정'!B35,'1. 가정'!C35,'1. 가정'!D35)+(CHOOSE('1. 가정'!$D$4,'1. 가정'!B36,'1. 가정'!C36,'1. 가정'!D36)-CHOOSE('1. 가정'!$D$4,'1. 가정'!B35,'1. 가정'!C35,'1. 가정'!D35))*0.7</f>
        <v>2050</v>
      </c>
      <c r="M23" s="27" t="n">
        <f aca="false">CHOOSE('1. 가정'!$D$4,'1. 가정'!B36,'1. 가정'!C36,'1. 가정'!D36)</f>
        <v>2500</v>
      </c>
    </row>
    <row r="24" customFormat="false" ht="15" hidden="false" customHeight="false" outlineLevel="0" collapsed="false">
      <c r="A24" s="26" t="s">
        <v>103</v>
      </c>
      <c r="B24" s="12" t="n">
        <f aca="false">(B23/2)*(CHOOSE('1. 가정'!$D$4,'1. 가정'!B33,'1. 가정'!C33,'1. 가정'!D33))*3/10000</f>
        <v>0</v>
      </c>
      <c r="C24" s="12" t="n">
        <f aca="false">((C23+B23)/2)*(CHOOSE('1. 가정'!$D$4,'1. 가정'!B33,'1. 가정'!C33,'1. 가정'!D33))*3/10000</f>
        <v>0</v>
      </c>
      <c r="D24" s="12" t="n">
        <f aca="false">((D23+C23)/2)*(CHOOSE('1. 가정'!$D$4,'1. 가정'!B33,'1. 가정'!C33,'1. 가정'!D33))*3/10000</f>
        <v>134.1</v>
      </c>
      <c r="E24" s="12" t="n">
        <f aca="false">((E23+D23)/2)*(CHOOSE('1. 가정'!$D$4,'1. 가정'!B33,'1. 가정'!C33,'1. 가정'!D33))*3/10000</f>
        <v>581.1</v>
      </c>
      <c r="F24" s="12" t="n">
        <f aca="false">((F23+E23)/2)*(CHOOSE('1. 가정'!$D$4,'1. 가정'!B33,'1. 가정'!C33,'1. 가정'!D33))*3/10000</f>
        <v>1251.6</v>
      </c>
      <c r="G24" s="12" t="n">
        <f aca="false">((G23+F23)/2)*(CHOOSE('1. 가정'!$D$4,'1. 가정'!B33,'1. 가정'!C33,'1. 가정'!D33))*3/10000</f>
        <v>2056.2</v>
      </c>
      <c r="H24" s="12" t="n">
        <f aca="false">((H23+G23)/2)*(CHOOSE('1. 가정'!$D$4,'1. 가정'!B33,'1. 가정'!C33,'1. 가정'!D33))*3/10000</f>
        <v>2950.2</v>
      </c>
      <c r="I24" s="12" t="n">
        <f aca="false">((I23+H23)/2)*(CHOOSE('1. 가정'!$D$4,'1. 가정'!B33,'1. 가정'!C33,'1. 가정'!D33))*3/10000</f>
        <v>3933.6</v>
      </c>
      <c r="J24" s="12" t="n">
        <f aca="false">((J23+I23)/2)*(CHOOSE('1. 가정'!$D$4,'1. 가정'!B33,'1. 가정'!C33,'1. 가정'!D33))*3/10000</f>
        <v>5140.5</v>
      </c>
      <c r="K24" s="12" t="n">
        <f aca="false">((K23+J23)/2)*(CHOOSE('1. 가정'!$D$4,'1. 가정'!B33,'1. 가정'!C33,'1. 가정'!D33))*3/10000</f>
        <v>6649.125</v>
      </c>
      <c r="L24" s="12" t="n">
        <f aca="false">((L23+K23)/2)*(CHOOSE('1. 가정'!$D$4,'1. 가정'!B33,'1. 가정'!C33,'1. 가정'!D33))*3/10000</f>
        <v>8325.375</v>
      </c>
      <c r="M24" s="12" t="n">
        <f aca="false">((M23+L23)/2)*(CHOOSE('1. 가정'!$D$4,'1. 가정'!B33,'1. 가정'!C33,'1. 가정'!D33))*3/10000</f>
        <v>10169.25</v>
      </c>
      <c r="N24" s="12" t="n">
        <f aca="false">SUM(B24:M24)</f>
        <v>41191.05</v>
      </c>
    </row>
    <row r="26" customFormat="false" ht="16.4" hidden="false" customHeight="false" outlineLevel="0" collapsed="false">
      <c r="A26" s="28" t="s">
        <v>104</v>
      </c>
      <c r="B26" s="29" t="n">
        <f aca="false">B11+B16+B20+B24</f>
        <v>0</v>
      </c>
      <c r="C26" s="29" t="n">
        <f aca="false">C11+C16+C20+C24</f>
        <v>10716.6666666667</v>
      </c>
      <c r="D26" s="29" t="n">
        <f aca="false">D11+D16+D20+D24</f>
        <v>5790.76666666667</v>
      </c>
      <c r="E26" s="29" t="n">
        <f aca="false">E11+E16+E20+E24</f>
        <v>1601.14166666667</v>
      </c>
      <c r="F26" s="29" t="n">
        <f aca="false">F11+F16+F20+F24</f>
        <v>2716.765625</v>
      </c>
      <c r="G26" s="29" t="n">
        <f aca="false">G11+G16+G20+G24</f>
        <v>3662.861484375</v>
      </c>
      <c r="H26" s="29" t="n">
        <f aca="false">H11+H16+H20+H24</f>
        <v>4694.81994726563</v>
      </c>
      <c r="I26" s="29" t="n">
        <f aca="false">I11+I16+I20+I24</f>
        <v>5812.72944858399</v>
      </c>
      <c r="J26" s="29" t="n">
        <f aca="false">J11+J16+J20+J24</f>
        <v>8325.77621236939</v>
      </c>
      <c r="K26" s="29" t="n">
        <f aca="false">K11+K16+K20+K24</f>
        <v>10011.0193070601</v>
      </c>
      <c r="L26" s="29" t="n">
        <f aca="false">L11+L16+L20+L24</f>
        <v>11859.4719493836</v>
      </c>
      <c r="M26" s="29" t="n">
        <f aca="false">M11+M16+M20+M24</f>
        <v>13871.2445256491</v>
      </c>
      <c r="N26" s="29" t="n">
        <f aca="false">N11+N16+N20+N24</f>
        <v>79063.2634996868</v>
      </c>
    </row>
    <row r="28" customFormat="false" ht="15" hidden="false" customHeight="false" outlineLevel="0" collapsed="false">
      <c r="A28" s="11" t="s">
        <v>105</v>
      </c>
      <c r="B28" s="26" t="s">
        <v>106</v>
      </c>
      <c r="C28" s="26" t="s">
        <v>107</v>
      </c>
      <c r="D28" s="26" t="s">
        <v>108</v>
      </c>
      <c r="E28" s="26" t="s">
        <v>109</v>
      </c>
    </row>
    <row r="29" customFormat="false" ht="15" hidden="false" customHeight="false" outlineLevel="0" collapsed="false">
      <c r="A29" s="8" t="s">
        <v>110</v>
      </c>
      <c r="B29" s="23" t="n">
        <f aca="false">SUM(B11:E11)</f>
        <v>15500</v>
      </c>
      <c r="C29" s="23" t="n">
        <f aca="false">SUM(F11:I11)</f>
        <v>0</v>
      </c>
      <c r="D29" s="23" t="n">
        <f aca="false">SUM(J11:M11)</f>
        <v>0</v>
      </c>
      <c r="E29" s="23" t="n">
        <f aca="false">B29+C29+D29</f>
        <v>15500</v>
      </c>
    </row>
    <row r="30" customFormat="false" ht="15" hidden="false" customHeight="false" outlineLevel="0" collapsed="false">
      <c r="A30" s="0" t="s">
        <v>111</v>
      </c>
      <c r="B30" s="23" t="n">
        <f aca="false">SUM(B16:E16)</f>
        <v>393.375</v>
      </c>
      <c r="C30" s="23" t="n">
        <f aca="false">SUM(F16:I16)</f>
        <v>2195.57650522461</v>
      </c>
      <c r="D30" s="23" t="n">
        <f aca="false">SUM(J16:M16)</f>
        <v>4783.26199446224</v>
      </c>
      <c r="E30" s="23" t="n">
        <f aca="false">B30+C30+D30</f>
        <v>7372.21349968684</v>
      </c>
    </row>
    <row r="31" customFormat="false" ht="15" hidden="false" customHeight="false" outlineLevel="0" collapsed="false">
      <c r="A31" s="0" t="s">
        <v>112</v>
      </c>
      <c r="B31" s="23" t="n">
        <f aca="false">SUM(B20:E20)</f>
        <v>1500</v>
      </c>
      <c r="C31" s="23" t="n">
        <f aca="false">SUM(F20:I20)</f>
        <v>4500</v>
      </c>
      <c r="D31" s="23" t="n">
        <f aca="false">SUM(J20:M20)</f>
        <v>9000</v>
      </c>
      <c r="E31" s="23" t="n">
        <f aca="false">B31+C31+D31</f>
        <v>15000</v>
      </c>
    </row>
    <row r="32" customFormat="false" ht="15" hidden="false" customHeight="false" outlineLevel="0" collapsed="false">
      <c r="A32" s="0" t="s">
        <v>113</v>
      </c>
      <c r="B32" s="23" t="n">
        <f aca="false">SUM(B24:E24)</f>
        <v>715.2</v>
      </c>
      <c r="C32" s="23" t="n">
        <f aca="false">SUM(F24:I24)</f>
        <v>10191.6</v>
      </c>
      <c r="D32" s="23" t="n">
        <f aca="false">SUM(J24:M24)</f>
        <v>30284.25</v>
      </c>
      <c r="E32" s="23" t="n">
        <f aca="false">B32+C32+D32</f>
        <v>41191.05</v>
      </c>
    </row>
    <row r="34" customFormat="false" ht="16.15" hidden="false" customHeight="false" outlineLevel="0" collapsed="false">
      <c r="A34" s="28" t="s">
        <v>114</v>
      </c>
      <c r="B34" s="30" t="n">
        <f aca="false">SUM(B29:B32)</f>
        <v>18108.575</v>
      </c>
      <c r="C34" s="30" t="n">
        <f aca="false">SUM(C29:C32)</f>
        <v>16887.1765052246</v>
      </c>
      <c r="D34" s="30" t="n">
        <f aca="false">SUM(D29:D32)</f>
        <v>44067.5119944622</v>
      </c>
      <c r="E34" s="30" t="n">
        <f aca="false">SUM(E29:E32)</f>
        <v>79063.2634996868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</cols>
  <sheetData>
    <row r="1" customFormat="false" ht="19.4" hidden="false" customHeight="false" outlineLevel="0" collapsed="false">
      <c r="A1" s="1" t="s">
        <v>115</v>
      </c>
      <c r="B1" s="1"/>
      <c r="C1" s="1"/>
      <c r="D1" s="1"/>
      <c r="E1" s="1"/>
    </row>
    <row r="3" customFormat="false" ht="15" hidden="false" customHeight="false" outlineLevel="0" collapsed="false">
      <c r="A3" s="7" t="s">
        <v>57</v>
      </c>
      <c r="B3" s="21" t="s">
        <v>116</v>
      </c>
      <c r="C3" s="21" t="s">
        <v>117</v>
      </c>
      <c r="D3" s="21" t="s">
        <v>118</v>
      </c>
      <c r="E3" s="21" t="s">
        <v>109</v>
      </c>
    </row>
    <row r="4" customFormat="false" ht="14.9" hidden="false" customHeight="false" outlineLevel="0" collapsed="false">
      <c r="A4" s="8" t="s">
        <v>119</v>
      </c>
      <c r="B4" s="31" t="n">
        <f aca="false">'1. 가정'!B41*12</f>
        <v>120</v>
      </c>
      <c r="C4" s="31" t="n">
        <f aca="false">'1. 가정'!C41*12</f>
        <v>360</v>
      </c>
      <c r="D4" s="31" t="n">
        <f aca="false">'1. 가정'!D41*12</f>
        <v>720</v>
      </c>
      <c r="E4" s="23" t="n">
        <f aca="false">SUM(B4:D4)</f>
        <v>1200</v>
      </c>
    </row>
    <row r="5" customFormat="false" ht="14.9" hidden="false" customHeight="false" outlineLevel="0" collapsed="false">
      <c r="A5" s="0" t="s">
        <v>120</v>
      </c>
      <c r="B5" s="31" t="n">
        <f aca="false">'1. 가정'!B42*12</f>
        <v>60</v>
      </c>
      <c r="C5" s="31" t="n">
        <f aca="false">'1. 가정'!C42*12</f>
        <v>360</v>
      </c>
      <c r="D5" s="31" t="n">
        <f aca="false">'1. 가정'!D42*12</f>
        <v>1200</v>
      </c>
      <c r="E5" s="23" t="n">
        <f aca="false">SUM(B5:D5)</f>
        <v>1620</v>
      </c>
    </row>
    <row r="6" customFormat="false" ht="14.9" hidden="false" customHeight="false" outlineLevel="0" collapsed="false">
      <c r="A6" s="8" t="s">
        <v>121</v>
      </c>
      <c r="B6" s="31" t="n">
        <f aca="false">'1. 가정'!B43*12</f>
        <v>24</v>
      </c>
      <c r="C6" s="31" t="n">
        <f aca="false">'1. 가정'!C43*12</f>
        <v>60</v>
      </c>
      <c r="D6" s="31" t="n">
        <f aca="false">'1. 가정'!D43*12</f>
        <v>120</v>
      </c>
      <c r="E6" s="23" t="n">
        <f aca="false">SUM(B6:D6)</f>
        <v>204</v>
      </c>
    </row>
    <row r="7" customFormat="false" ht="14.9" hidden="false" customHeight="false" outlineLevel="0" collapsed="false">
      <c r="A7" s="8" t="s">
        <v>122</v>
      </c>
      <c r="B7" s="31" t="n">
        <f aca="false">'1. 가정'!B44*12</f>
        <v>240</v>
      </c>
      <c r="C7" s="31" t="n">
        <f aca="false">'1. 가정'!C44*12</f>
        <v>1200</v>
      </c>
      <c r="D7" s="31" t="n">
        <f aca="false">'1. 가정'!D44*12</f>
        <v>2400</v>
      </c>
      <c r="E7" s="23" t="n">
        <f aca="false">SUM(B7:D7)</f>
        <v>3840</v>
      </c>
    </row>
    <row r="8" customFormat="false" ht="15" hidden="false" customHeight="false" outlineLevel="0" collapsed="false">
      <c r="A8" s="8" t="s">
        <v>123</v>
      </c>
      <c r="B8" s="31" t="n">
        <f aca="false">'1. 가정'!B45*12</f>
        <v>0</v>
      </c>
      <c r="C8" s="31" t="n">
        <f aca="false">'1. 가정'!C45*12</f>
        <v>3600</v>
      </c>
      <c r="D8" s="31" t="n">
        <f aca="false">'1. 가정'!D45*12</f>
        <v>6000</v>
      </c>
      <c r="E8" s="23" t="n">
        <f aca="false">SUM(B8:D8)</f>
        <v>9600</v>
      </c>
    </row>
    <row r="9" customFormat="false" ht="15" hidden="false" customHeight="false" outlineLevel="0" collapsed="false">
      <c r="A9" s="8" t="s">
        <v>124</v>
      </c>
      <c r="B9" s="31" t="n">
        <f aca="false">'1. 가정'!B46*12</f>
        <v>0</v>
      </c>
      <c r="C9" s="31" t="n">
        <f aca="false">'1. 가정'!C46*12</f>
        <v>1200</v>
      </c>
      <c r="D9" s="31" t="n">
        <f aca="false">'1. 가정'!D46*12</f>
        <v>2400</v>
      </c>
      <c r="E9" s="23" t="n">
        <f aca="false">SUM(B9:D9)</f>
        <v>3600</v>
      </c>
    </row>
    <row r="10" customFormat="false" ht="15" hidden="false" customHeight="false" outlineLevel="0" collapsed="false">
      <c r="A10" s="11" t="s">
        <v>125</v>
      </c>
      <c r="B10" s="12" t="n">
        <f aca="false">SUM(B4:B9)</f>
        <v>444</v>
      </c>
      <c r="C10" s="12" t="n">
        <f aca="false">SUM(C4:C9)</f>
        <v>6780</v>
      </c>
      <c r="D10" s="12" t="n">
        <f aca="false">SUM(D4:D9)</f>
        <v>12840</v>
      </c>
      <c r="E10" s="12" t="n">
        <f aca="false">SUM(E4:E9)</f>
        <v>20064</v>
      </c>
    </row>
    <row r="12" customFormat="false" ht="15" hidden="false" customHeight="false" outlineLevel="0" collapsed="false">
      <c r="A12" s="22" t="s">
        <v>126</v>
      </c>
    </row>
    <row r="13" customFormat="false" ht="14.9" hidden="false" customHeight="false" outlineLevel="0" collapsed="false">
      <c r="A13" s="8" t="s">
        <v>127</v>
      </c>
      <c r="B13" s="31" t="n">
        <f aca="false">('2. 매출 빌드업'!B31+'2. 매출 빌드업'!B32)*0.03</f>
        <v>66.456</v>
      </c>
      <c r="C13" s="31" t="n">
        <f aca="false">('2. 매출 빌드업'!C31+'2. 매출 빌드업'!C32)*0.03</f>
        <v>440.748</v>
      </c>
      <c r="D13" s="31" t="n">
        <f aca="false">('2. 매출 빌드업'!D31+'2. 매출 빌드업'!D32)*0.03</f>
        <v>1178.5275</v>
      </c>
      <c r="E13" s="23" t="n">
        <f aca="false">SUM(B13:D13)</f>
        <v>1685.7315</v>
      </c>
    </row>
    <row r="14" customFormat="false" ht="14.9" hidden="false" customHeight="false" outlineLevel="0" collapsed="false">
      <c r="A14" s="0" t="s">
        <v>128</v>
      </c>
      <c r="B14" s="23" t="n">
        <f aca="false">SUM('2. 매출 빌드업'!B19:E19)*0.05</f>
        <v>15</v>
      </c>
      <c r="C14" s="23" t="n">
        <f aca="false">SUM('2. 매출 빌드업'!F19:I19)*0.05</f>
        <v>45</v>
      </c>
      <c r="D14" s="23" t="n">
        <f aca="false">SUM('2. 매출 빌드업'!J19:M19)*0.05</f>
        <v>90</v>
      </c>
      <c r="E14" s="23" t="n">
        <f aca="false">SUM(B14:D14)</f>
        <v>150</v>
      </c>
    </row>
    <row r="16" customFormat="false" ht="15" hidden="false" customHeight="false" outlineLevel="0" collapsed="false">
      <c r="A16" s="11" t="s">
        <v>129</v>
      </c>
      <c r="B16" s="12" t="n">
        <f aca="false">SUM(B13:B14)</f>
        <v>81.456</v>
      </c>
      <c r="C16" s="12" t="n">
        <f aca="false">SUM(C13:C14)</f>
        <v>485.748</v>
      </c>
      <c r="D16" s="12" t="n">
        <f aca="false">SUM(D13:D14)</f>
        <v>1268.5275</v>
      </c>
      <c r="E16" s="12" t="n">
        <f aca="false">SUM(E13:E14)</f>
        <v>1835.7315</v>
      </c>
    </row>
    <row r="18" customFormat="false" ht="16.15" hidden="false" customHeight="false" outlineLevel="0" collapsed="false">
      <c r="A18" s="28" t="s">
        <v>130</v>
      </c>
      <c r="B18" s="29" t="n">
        <f aca="false">B10+B16</f>
        <v>525.456</v>
      </c>
      <c r="C18" s="29" t="n">
        <f aca="false">C10+C16</f>
        <v>7265.748</v>
      </c>
      <c r="D18" s="29" t="n">
        <f aca="false">D10+D16</f>
        <v>14108.5275</v>
      </c>
      <c r="E18" s="29" t="n">
        <f aca="false">E10+E16</f>
        <v>21899.7315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4"/>
  </cols>
  <sheetData>
    <row r="1" customFormat="false" ht="19.4" hidden="false" customHeight="false" outlineLevel="0" collapsed="false">
      <c r="A1" s="32" t="s">
        <v>131</v>
      </c>
      <c r="B1" s="32"/>
      <c r="C1" s="32"/>
      <c r="D1" s="32"/>
      <c r="E1" s="32"/>
    </row>
    <row r="2" customFormat="false" ht="15" hidden="false" customHeight="false" outlineLevel="0" collapsed="false">
      <c r="A2" s="10" t="s">
        <v>76</v>
      </c>
      <c r="B2" s="33" t="str">
        <f aca="false">'1. 가정'!E4</f>
        <v>기본</v>
      </c>
    </row>
    <row r="4" customFormat="false" ht="15" hidden="false" customHeight="false" outlineLevel="0" collapsed="false">
      <c r="A4" s="7" t="s">
        <v>57</v>
      </c>
      <c r="B4" s="21" t="s">
        <v>132</v>
      </c>
      <c r="C4" s="21" t="s">
        <v>133</v>
      </c>
      <c r="D4" s="21" t="s">
        <v>134</v>
      </c>
      <c r="E4" s="21" t="s">
        <v>109</v>
      </c>
    </row>
    <row r="5" customFormat="false" ht="15" hidden="false" customHeight="false" outlineLevel="0" collapsed="false">
      <c r="A5" s="22" t="s">
        <v>135</v>
      </c>
      <c r="B5" s="31" t="n">
        <f aca="false">'2. 매출 빌드업'!B34</f>
        <v>18108.575</v>
      </c>
      <c r="C5" s="31" t="n">
        <f aca="false">'2. 매출 빌드업'!C34</f>
        <v>16887.1765052246</v>
      </c>
      <c r="D5" s="31" t="n">
        <f aca="false">'2. 매출 빌드업'!D34</f>
        <v>44067.5119944622</v>
      </c>
      <c r="E5" s="23" t="n">
        <f aca="false">SUM(B5:D5)</f>
        <v>79063.2634996868</v>
      </c>
    </row>
    <row r="6" customFormat="false" ht="15" hidden="false" customHeight="false" outlineLevel="0" collapsed="false">
      <c r="A6" s="22" t="s">
        <v>136</v>
      </c>
      <c r="B6" s="31" t="n">
        <f aca="false">'3. 비용'!B18</f>
        <v>525.456</v>
      </c>
      <c r="C6" s="31" t="n">
        <f aca="false">'3. 비용'!C18</f>
        <v>7265.748</v>
      </c>
      <c r="D6" s="31" t="n">
        <f aca="false">'3. 비용'!D18</f>
        <v>14108.5275</v>
      </c>
      <c r="E6" s="23" t="n">
        <f aca="false">SUM(B6:D6)</f>
        <v>21899.7315</v>
      </c>
    </row>
    <row r="7" customFormat="false" ht="16.15" hidden="false" customHeight="false" outlineLevel="0" collapsed="false">
      <c r="A7" s="28" t="s">
        <v>137</v>
      </c>
      <c r="B7" s="29" t="n">
        <f aca="false">B5-B6</f>
        <v>17583.119</v>
      </c>
      <c r="C7" s="29" t="n">
        <f aca="false">C5-C6</f>
        <v>9621.42850522461</v>
      </c>
      <c r="D7" s="29" t="n">
        <f aca="false">D5-D6</f>
        <v>29958.9844944622</v>
      </c>
      <c r="E7" s="29" t="n">
        <f aca="false">E5-E6</f>
        <v>57163.5319996869</v>
      </c>
    </row>
    <row r="8" customFormat="false" ht="15" hidden="false" customHeight="false" outlineLevel="0" collapsed="false">
      <c r="A8" s="22" t="s">
        <v>138</v>
      </c>
      <c r="B8" s="34" t="n">
        <f aca="false">IFERROR(B7/B5,0)</f>
        <v>0.970983028758475</v>
      </c>
      <c r="C8" s="34" t="n">
        <f aca="false">IFERROR(C7/C5,0)</f>
        <v>0.569747613062959</v>
      </c>
      <c r="D8" s="34" t="n">
        <f aca="false">IFERROR(D7/D5,0)</f>
        <v>0.67984288512197</v>
      </c>
      <c r="E8" s="34" t="n">
        <f aca="false">IFERROR(E7/E5,0)</f>
        <v>0.723010023484716</v>
      </c>
    </row>
    <row r="10" customFormat="false" ht="15" hidden="false" customHeight="false" outlineLevel="0" collapsed="false">
      <c r="A10" s="11" t="s">
        <v>139</v>
      </c>
    </row>
    <row r="11" customFormat="false" ht="15" hidden="false" customHeight="false" outlineLevel="0" collapsed="false">
      <c r="A11" s="8" t="s">
        <v>110</v>
      </c>
      <c r="B11" s="31" t="n">
        <f aca="false">'2. 매출 빌드업'!D29</f>
        <v>0</v>
      </c>
      <c r="C11" s="34" t="n">
        <f aca="false">IFERROR(B11/$D$5,0)</f>
        <v>0</v>
      </c>
    </row>
    <row r="12" customFormat="false" ht="15" hidden="false" customHeight="false" outlineLevel="0" collapsed="false">
      <c r="A12" s="0" t="s">
        <v>111</v>
      </c>
      <c r="B12" s="31" t="n">
        <f aca="false">'2. 매출 빌드업'!D30</f>
        <v>4783.26199446224</v>
      </c>
      <c r="C12" s="34" t="n">
        <f aca="false">IFERROR(B12/$D$5,0)</f>
        <v>0.108543953991851</v>
      </c>
    </row>
    <row r="13" customFormat="false" ht="15" hidden="false" customHeight="false" outlineLevel="0" collapsed="false">
      <c r="A13" s="0" t="s">
        <v>112</v>
      </c>
      <c r="B13" s="31" t="n">
        <f aca="false">'2. 매출 빌드업'!D31</f>
        <v>9000</v>
      </c>
      <c r="C13" s="34" t="n">
        <f aca="false">IFERROR(B13/$D$5,0)</f>
        <v>0.204232088281521</v>
      </c>
    </row>
    <row r="14" customFormat="false" ht="15" hidden="false" customHeight="false" outlineLevel="0" collapsed="false">
      <c r="A14" s="0" t="s">
        <v>113</v>
      </c>
      <c r="B14" s="31" t="n">
        <f aca="false">'2. 매출 빌드업'!D32</f>
        <v>30284.25</v>
      </c>
      <c r="C14" s="34" t="n">
        <f aca="false">IFERROR(B14/$D$5,0)</f>
        <v>0.687223957726628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8"/>
  </cols>
  <sheetData>
    <row r="1" customFormat="false" ht="19.4" hidden="false" customHeight="false" outlineLevel="0" collapsed="false">
      <c r="A1" s="1" t="s">
        <v>140</v>
      </c>
      <c r="B1" s="1"/>
      <c r="C1" s="1"/>
      <c r="D1" s="1"/>
      <c r="E1" s="1"/>
    </row>
    <row r="2" customFormat="false" ht="12.65" hidden="false" customHeight="false" outlineLevel="0" collapsed="false">
      <c r="A2" s="2" t="s">
        <v>141</v>
      </c>
      <c r="B2" s="2"/>
      <c r="C2" s="2"/>
      <c r="D2" s="2"/>
      <c r="E2" s="2"/>
    </row>
    <row r="4" customFormat="false" ht="15" hidden="false" customHeight="false" outlineLevel="0" collapsed="false">
      <c r="A4" s="7" t="s">
        <v>142</v>
      </c>
      <c r="B4" s="7" t="s">
        <v>25</v>
      </c>
      <c r="C4" s="7" t="s">
        <v>26</v>
      </c>
      <c r="D4" s="7" t="s">
        <v>27</v>
      </c>
    </row>
    <row r="5" customFormat="false" ht="15" hidden="false" customHeight="false" outlineLevel="0" collapsed="false">
      <c r="A5" s="8" t="s">
        <v>143</v>
      </c>
      <c r="B5" s="23" t="n">
        <f aca="false">SUM('1. 가정'!B8:B11)</f>
        <v>5500</v>
      </c>
      <c r="C5" s="23" t="n">
        <f aca="false">SUM('1. 가정'!C8:C11)</f>
        <v>15500</v>
      </c>
      <c r="D5" s="23" t="n">
        <f aca="false">SUM('1. 가정'!D8:D11)</f>
        <v>30500</v>
      </c>
    </row>
    <row r="6" customFormat="false" ht="15" hidden="false" customHeight="false" outlineLevel="0" collapsed="false">
      <c r="A6" s="0" t="s">
        <v>144</v>
      </c>
      <c r="B6" s="23" t="n">
        <f aca="false">('1. 가정'!B16)*((('1. 가정'!B17)*0.5+('1. 가정'!B18)*1.5+('1. 가정'!B19)*2.5))</f>
        <v>3500</v>
      </c>
      <c r="C6" s="23" t="n">
        <f aca="false">('1. 가정'!C16)*((('1. 가정'!C17)*0.5+('1. 가정'!C18)*1.5+('1. 가정'!C19)*2.5))</f>
        <v>12000</v>
      </c>
      <c r="D6" s="23" t="n">
        <f aca="false">('1. 가정'!D16)*((('1. 가정'!D17)*0.5+('1. 가정'!D18)*1.5+('1. 가정'!D19)*2.5))</f>
        <v>42750</v>
      </c>
    </row>
    <row r="7" customFormat="false" ht="15" hidden="false" customHeight="false" outlineLevel="0" collapsed="false">
      <c r="A7" s="0" t="s">
        <v>145</v>
      </c>
      <c r="B7" s="23" t="n">
        <f aca="false">('1. 가정'!B25)*(('1. 가정'!B26)+('1. 가정'!B27)+('1. 가정'!B28))</f>
        <v>4500</v>
      </c>
      <c r="C7" s="23" t="n">
        <f aca="false">('1. 가정'!C25)*(('1. 가정'!C26)+('1. 가정'!C27)+('1. 가정'!C28))</f>
        <v>22500</v>
      </c>
      <c r="D7" s="23" t="n">
        <f aca="false">('1. 가정'!D25)*(('1. 가정'!D26)+('1. 가정'!D27)+('1. 가정'!D28))</f>
        <v>72000</v>
      </c>
    </row>
    <row r="8" customFormat="false" ht="15" hidden="false" customHeight="false" outlineLevel="0" collapsed="false">
      <c r="A8" s="0" t="s">
        <v>146</v>
      </c>
      <c r="B8" s="23" t="n">
        <f aca="false">('1. 가정'!B33)/10000*('1. 가정'!B36)*12*0.6</f>
        <v>5702.4</v>
      </c>
      <c r="C8" s="23" t="n">
        <f aca="false">('1. 가정'!C33)/10000*('1. 가정'!C36)*12*0.6</f>
        <v>26820</v>
      </c>
      <c r="D8" s="23" t="n">
        <f aca="false">('1. 가정'!D33)/10000*('1. 가정'!D36)*12*0.6</f>
        <v>85968</v>
      </c>
    </row>
    <row r="9" customFormat="false" ht="16.4" hidden="false" customHeight="false" outlineLevel="0" collapsed="false">
      <c r="A9" s="35" t="s">
        <v>147</v>
      </c>
      <c r="B9" s="30" t="n">
        <f aca="false">SUM(B5:B8)</f>
        <v>19202.4</v>
      </c>
      <c r="C9" s="30" t="n">
        <f aca="false">SUM(C5:C8)</f>
        <v>76820</v>
      </c>
      <c r="D9" s="30" t="n">
        <f aca="false">SUM(D5:D8)</f>
        <v>231218</v>
      </c>
    </row>
    <row r="11" customFormat="false" ht="15" hidden="false" customHeight="false" outlineLevel="0" collapsed="false">
      <c r="A11" s="24" t="s">
        <v>148</v>
      </c>
      <c r="B11" s="31" t="n">
        <f aca="false">'1. 가정'!B48*3</f>
        <v>1332</v>
      </c>
      <c r="C11" s="31" t="n">
        <f aca="false">'1. 가정'!C48*3</f>
        <v>20340</v>
      </c>
      <c r="D11" s="31" t="n">
        <f aca="false">'1. 가정'!D48*3</f>
        <v>38520</v>
      </c>
    </row>
    <row r="13" customFormat="false" ht="16.4" hidden="false" customHeight="false" outlineLevel="0" collapsed="false">
      <c r="A13" s="35" t="s">
        <v>149</v>
      </c>
      <c r="B13" s="30" t="n">
        <f aca="false">B9-B11</f>
        <v>17870.4</v>
      </c>
      <c r="C13" s="30" t="n">
        <f aca="false">C9-C11</f>
        <v>56480</v>
      </c>
      <c r="D13" s="30" t="n">
        <f aca="false">D9-D11</f>
        <v>192698</v>
      </c>
    </row>
    <row r="14" customFormat="false" ht="15" hidden="false" customHeight="false" outlineLevel="0" collapsed="false">
      <c r="A14" s="22" t="s">
        <v>138</v>
      </c>
      <c r="B14" s="34" t="n">
        <f aca="false">IFERROR(B13/B9,0)</f>
        <v>0.930633670791151</v>
      </c>
      <c r="C14" s="34" t="n">
        <f aca="false">IFERROR(C13/C9,0)</f>
        <v>0.735225201770372</v>
      </c>
      <c r="D14" s="34" t="n">
        <f aca="false">IFERROR(D13/D9,0)</f>
        <v>0.833403973739069</v>
      </c>
    </row>
    <row r="16" customFormat="false" ht="15" hidden="false" customHeight="false" outlineLevel="0" collapsed="false">
      <c r="A16" s="10" t="s">
        <v>150</v>
      </c>
    </row>
    <row r="17" customFormat="false" ht="15" hidden="false" customHeight="false" outlineLevel="0" collapsed="false">
      <c r="A17" s="10" t="s">
        <v>151</v>
      </c>
    </row>
    <row r="18" customFormat="false" ht="15" hidden="false" customHeight="false" outlineLevel="0" collapsed="false">
      <c r="A18" s="10" t="s">
        <v>152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2026-05-12T10:03:50Z</dcterms:created>
  <dc:creator>openpyxl</dc:creator>
  <dc:description/>
  <dc:language>en-US</dc:language>
  <cp:lastModifiedBy/>
  <dcterms:modified xsi:type="dcterms:W3CDTF">2026-05-12T10:03:50Z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